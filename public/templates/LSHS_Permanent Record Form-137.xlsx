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mpp\htdocs\capstone 1 v8\capstone-fresh\public\templates\"/>
    </mc:Choice>
  </mc:AlternateContent>
  <xr:revisionPtr revIDLastSave="0" documentId="13_ncr:1_{629D9DD1-728A-4F10-BABD-2EDA0B27CAE5}" xr6:coauthVersionLast="47" xr6:coauthVersionMax="47" xr10:uidLastSave="{00000000-0000-0000-0000-000000000000}"/>
  <bookViews>
    <workbookView xWindow="-108" yWindow="-108" windowWidth="23256" windowHeight="13176" xr2:uid="{E891D4E0-132F-448A-9352-B64CEE83219D}"/>
  </bookViews>
  <sheets>
    <sheet name="Sheet1" sheetId="1" r:id="rId1"/>
  </sheets>
  <definedNames>
    <definedName name="_xlnm.Print_Area" localSheetId="0">Sheet1!$1:$84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62" i="1" l="1"/>
  <c r="AD61" i="1"/>
  <c r="AD60" i="1"/>
  <c r="N62" i="1"/>
  <c r="N61" i="1"/>
  <c r="N60" i="1"/>
  <c r="AD39" i="1"/>
  <c r="AD41" i="1"/>
  <c r="AD40" i="1"/>
  <c r="N41" i="1"/>
  <c r="N40" i="1"/>
  <c r="N39" i="1"/>
  <c r="AD48" i="1"/>
  <c r="AE48" i="1" s="1"/>
  <c r="AD57" i="1"/>
  <c r="AE57" i="1" s="1"/>
  <c r="AD56" i="1"/>
  <c r="AE56" i="1" s="1"/>
  <c r="AD55" i="1"/>
  <c r="AE55" i="1" s="1"/>
  <c r="AD54" i="1"/>
  <c r="AE54" i="1" s="1"/>
  <c r="AD53" i="1"/>
  <c r="AE53" i="1" s="1"/>
  <c r="AD52" i="1"/>
  <c r="AE52" i="1" s="1"/>
  <c r="AD51" i="1"/>
  <c r="AE51" i="1" s="1"/>
  <c r="AD50" i="1"/>
  <c r="AE50" i="1" s="1"/>
  <c r="AD49" i="1"/>
  <c r="AE49" i="1" s="1"/>
  <c r="N58" i="1"/>
  <c r="O58" i="1" s="1"/>
  <c r="N57" i="1"/>
  <c r="O57" i="1" s="1"/>
  <c r="N56" i="1"/>
  <c r="O56" i="1" s="1"/>
  <c r="N55" i="1"/>
  <c r="O55" i="1" s="1"/>
  <c r="N54" i="1"/>
  <c r="O54" i="1" s="1"/>
  <c r="N53" i="1"/>
  <c r="O53" i="1" s="1"/>
  <c r="N52" i="1"/>
  <c r="O52" i="1" s="1"/>
  <c r="N51" i="1"/>
  <c r="O51" i="1" s="1"/>
  <c r="N50" i="1"/>
  <c r="O50" i="1" s="1"/>
  <c r="N49" i="1"/>
  <c r="O49" i="1" s="1"/>
  <c r="N48" i="1"/>
  <c r="O48" i="1" s="1"/>
  <c r="AD36" i="1"/>
  <c r="AE36" i="1" s="1"/>
  <c r="AD35" i="1"/>
  <c r="AE35" i="1" s="1"/>
  <c r="AD34" i="1"/>
  <c r="AE34" i="1" s="1"/>
  <c r="AD33" i="1"/>
  <c r="AE33" i="1" s="1"/>
  <c r="AD32" i="1"/>
  <c r="AE32" i="1" s="1"/>
  <c r="AD31" i="1"/>
  <c r="AE31" i="1" s="1"/>
  <c r="AD30" i="1"/>
  <c r="AE30" i="1" s="1"/>
  <c r="AD29" i="1"/>
  <c r="AE29" i="1" s="1"/>
  <c r="AD28" i="1"/>
  <c r="AE28" i="1" s="1"/>
  <c r="AD27" i="1"/>
  <c r="AD37" i="1" s="1"/>
  <c r="AE37" i="1" s="1"/>
  <c r="N36" i="1"/>
  <c r="O36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27" i="1"/>
  <c r="O27" i="1" s="1"/>
  <c r="N37" i="1" l="1"/>
  <c r="O37" i="1" s="1"/>
  <c r="AD58" i="1"/>
  <c r="AE58" i="1" s="1"/>
  <c r="AE27" i="1"/>
  <c r="S80" i="1"/>
</calcChain>
</file>

<file path=xl/sharedStrings.xml><?xml version="1.0" encoding="utf-8"?>
<sst xmlns="http://schemas.openxmlformats.org/spreadsheetml/2006/main" count="292" uniqueCount="166">
  <si>
    <t>CAVITE STATE UNIVERSITY NAIC</t>
  </si>
  <si>
    <t>(Formerly Cavite College of Fisheries)</t>
  </si>
  <si>
    <t>Bucana Malaki, Naic, Cavite</t>
  </si>
  <si>
    <t>LEARNER'S INFORMATION</t>
  </si>
  <si>
    <t>NAME:</t>
  </si>
  <si>
    <t>LRN:</t>
  </si>
  <si>
    <t>DATE OF BIRTH:</t>
  </si>
  <si>
    <t>PLACE OF BIRTH:</t>
  </si>
  <si>
    <t>ELIGIBILITY FOR JHS ENROLLMENT</t>
  </si>
  <si>
    <t>Elementary School Completer</t>
  </si>
  <si>
    <t>General Average:</t>
  </si>
  <si>
    <t>School ID:</t>
  </si>
  <si>
    <t>Citation (if any):</t>
  </si>
  <si>
    <t>School Address:</t>
  </si>
  <si>
    <t>PEPT Passer</t>
  </si>
  <si>
    <t>Rating:</t>
  </si>
  <si>
    <t>ALS A&amp;E Passer</t>
  </si>
  <si>
    <t>Others (Pls. specify:)</t>
  </si>
  <si>
    <t>Name and Address of Testing Center:</t>
  </si>
  <si>
    <t>Section:</t>
  </si>
  <si>
    <t>Adviser:</t>
  </si>
  <si>
    <t>Signature:</t>
  </si>
  <si>
    <t>LEARNING AREAS</t>
  </si>
  <si>
    <t>Filipino</t>
  </si>
  <si>
    <t>English</t>
  </si>
  <si>
    <t>Mathematics</t>
  </si>
  <si>
    <t>Science</t>
  </si>
  <si>
    <t>Araling Panlipunan</t>
  </si>
  <si>
    <t>Edukasyon sa Pagpapakatao</t>
  </si>
  <si>
    <t>Science 2 (Environmental Science)</t>
  </si>
  <si>
    <t>DAYS OF SCHOOL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</si>
  <si>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</si>
  <si>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</si>
  <si>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</si>
  <si>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</si>
  <si>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</si>
  <si>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</si>
  <si>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</si>
  <si>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</si>
  <si>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</si>
  <si>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</si>
  <si>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</si>
  <si>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DAYS PRESENT</t>
  </si>
  <si>
    <t>RATING</t>
  </si>
  <si>
    <t>Q1</t>
  </si>
  <si>
    <t>Q2</t>
  </si>
  <si>
    <t>Q3</t>
  </si>
  <si>
    <t>Q4</t>
  </si>
  <si>
    <t>FINAL RATING</t>
  </si>
  <si>
    <t>REMARKS</t>
  </si>
  <si>
    <t>FIL 1</t>
  </si>
  <si>
    <t>ENG 1</t>
  </si>
  <si>
    <t>SCI 1</t>
  </si>
  <si>
    <t>MATH 1</t>
  </si>
  <si>
    <t>AP 1</t>
  </si>
  <si>
    <t>MAPEH 1</t>
  </si>
  <si>
    <t>TLE 1</t>
  </si>
  <si>
    <t>EsP 1</t>
  </si>
  <si>
    <t>SCI 2</t>
  </si>
  <si>
    <t>Music, Arts, Physical Education &amp; Health</t>
  </si>
  <si>
    <t>TOTAL</t>
  </si>
  <si>
    <t>TIMES TARDY</t>
  </si>
  <si>
    <t>Technology and Livelihood Education (Agri-Fishery Arts)</t>
  </si>
  <si>
    <t>Technology and Livelihood Education (Home Economics)</t>
  </si>
  <si>
    <t>MATH 3</t>
  </si>
  <si>
    <t>Advanced Algebra</t>
  </si>
  <si>
    <t>FIL 2</t>
  </si>
  <si>
    <t>ENG 2</t>
  </si>
  <si>
    <t>MATH 2</t>
  </si>
  <si>
    <t>SCI 3</t>
  </si>
  <si>
    <t>AP 2</t>
  </si>
  <si>
    <t>MAPEH 2</t>
  </si>
  <si>
    <t>TLE 2</t>
  </si>
  <si>
    <t>EsP 2</t>
  </si>
  <si>
    <t>School Year</t>
  </si>
  <si>
    <t>2024-2025</t>
  </si>
  <si>
    <t>FIL 3</t>
  </si>
  <si>
    <t>ENG 3</t>
  </si>
  <si>
    <t>MATH 4</t>
  </si>
  <si>
    <t>SCI 4</t>
  </si>
  <si>
    <t>AP 3</t>
  </si>
  <si>
    <t>MAPEH 3</t>
  </si>
  <si>
    <t>TLE 3</t>
  </si>
  <si>
    <t>EsP 3</t>
  </si>
  <si>
    <t>MATH 5</t>
  </si>
  <si>
    <t>Statistics</t>
  </si>
  <si>
    <t>RES 1</t>
  </si>
  <si>
    <t>Introduction to Research</t>
  </si>
  <si>
    <t>RES 2</t>
  </si>
  <si>
    <t>Outline and Experimental Design</t>
  </si>
  <si>
    <t>RES 3</t>
  </si>
  <si>
    <t>Applied Research</t>
  </si>
  <si>
    <t>LEARNER'S PERMANENT ACADEMIC RECORD FOR JUNIOR HIGH SCHOOL (SF10-JHS)</t>
  </si>
  <si>
    <t>Surname</t>
  </si>
  <si>
    <t>First Name</t>
  </si>
  <si>
    <t>Middle Name</t>
  </si>
  <si>
    <t>Name of Elementary School:</t>
  </si>
  <si>
    <t>Years to Complete Elementary:</t>
  </si>
  <si>
    <t>Other Credential Presented:</t>
  </si>
  <si>
    <t>FIL 4</t>
  </si>
  <si>
    <t>ENG 4</t>
  </si>
  <si>
    <t>MATH 6</t>
  </si>
  <si>
    <t>SCI 5</t>
  </si>
  <si>
    <t>AP 4</t>
  </si>
  <si>
    <t>MAPEH 4</t>
  </si>
  <si>
    <t>TLE 4</t>
  </si>
  <si>
    <t>EsP 4</t>
  </si>
  <si>
    <t>SCI 6</t>
  </si>
  <si>
    <t>Advanced Biology</t>
  </si>
  <si>
    <t>Technology and Livelihood Education (ICT)</t>
  </si>
  <si>
    <t>Filipino 1</t>
  </si>
  <si>
    <t>English 1</t>
  </si>
  <si>
    <t>Mathematics 1</t>
  </si>
  <si>
    <t>Science 1</t>
  </si>
  <si>
    <t>Araling Panlipunan 1</t>
  </si>
  <si>
    <t>Subject</t>
  </si>
  <si>
    <t>Year Completed</t>
  </si>
  <si>
    <t>Credits Earned</t>
  </si>
  <si>
    <t>FIRST CURRICULUM YEAR</t>
  </si>
  <si>
    <t>SECOND CURRICULUM YEAR</t>
  </si>
  <si>
    <t>THIRD CURRICULUM YEAR</t>
  </si>
  <si>
    <t>FOURTH CURRICULUM YEAR</t>
  </si>
  <si>
    <t>TLE 1 (Agri-Fishery Arts)</t>
  </si>
  <si>
    <t>Eduk. sa Pagpapakatao 1</t>
  </si>
  <si>
    <t>Science 2 (Envi. Science)</t>
  </si>
  <si>
    <t>Filipino 2</t>
  </si>
  <si>
    <t>English 2</t>
  </si>
  <si>
    <t>Mathematics 2</t>
  </si>
  <si>
    <t>Science 3</t>
  </si>
  <si>
    <t>Araling Panlipunan 2</t>
  </si>
  <si>
    <t>TLE 2 (Home Economics)</t>
  </si>
  <si>
    <t>Eduk. sa Pagpapakatao 2</t>
  </si>
  <si>
    <t>Mathematics 3 (Adv. Algebra)</t>
  </si>
  <si>
    <t>Research 1</t>
  </si>
  <si>
    <t>Filipino 3</t>
  </si>
  <si>
    <t>English 3</t>
  </si>
  <si>
    <t>Mathematics 3</t>
  </si>
  <si>
    <t>Science 4</t>
  </si>
  <si>
    <t>Araling Panlipunan 3</t>
  </si>
  <si>
    <t>TLE 3 (ICT)</t>
  </si>
  <si>
    <t>Eduk. sa Pagpapakatao 3</t>
  </si>
  <si>
    <t>Mathematics 5 (Statistics)</t>
  </si>
  <si>
    <t>Research 2</t>
  </si>
  <si>
    <t>Filipino 4</t>
  </si>
  <si>
    <t>English 4</t>
  </si>
  <si>
    <t>Mathematics 6</t>
  </si>
  <si>
    <t>Science 5</t>
  </si>
  <si>
    <t>Araling Panlipunan 4</t>
  </si>
  <si>
    <t>TLE 4 (ICT)</t>
  </si>
  <si>
    <t>Eduk. sa Pagpapakatao 4</t>
  </si>
  <si>
    <t>Science 6 (Advanced Biology)</t>
  </si>
  <si>
    <t>Research 3</t>
  </si>
  <si>
    <t>CERTIFICATION</t>
  </si>
  <si>
    <t xml:space="preserve">This copy is valid for </t>
  </si>
  <si>
    <t>.</t>
  </si>
  <si>
    <t>Date:</t>
  </si>
  <si>
    <t>Principal, CvSU Naic Laboratory Science High School</t>
  </si>
  <si>
    <t>MARION RODRIGO D. MARIÑAS III</t>
  </si>
  <si>
    <t>CvSU Naic Form 137</t>
  </si>
  <si>
    <r>
      <t xml:space="preserve">This is to certify that this is the </t>
    </r>
    <r>
      <rPr>
        <b/>
        <sz val="11"/>
        <color theme="1"/>
        <rFont val="Arial Narrow"/>
        <family val="2"/>
      </rPr>
      <t>TRUE COPY</t>
    </r>
    <r>
      <rPr>
        <sz val="11"/>
        <color theme="1"/>
        <rFont val="Arial Narrow"/>
        <family val="2"/>
      </rPr>
      <t xml:space="preserve"> of the </t>
    </r>
    <r>
      <rPr>
        <b/>
        <sz val="11"/>
        <color theme="1"/>
        <rFont val="Arial Narrow"/>
        <family val="2"/>
      </rPr>
      <t>PERMANENT HIGH SCHOOL RECORD</t>
    </r>
    <r>
      <rPr>
        <sz val="11"/>
        <color theme="1"/>
        <rFont val="Arial Narrow"/>
        <family val="2"/>
      </rPr>
      <t xml:space="preserve"> (Form 137A / SF 10) of </t>
    </r>
  </si>
  <si>
    <t>LEARNER'S SCHOLASTIC RECORD</t>
  </si>
  <si>
    <t>SUMMARY OF CREDITS TOWARDS JHS COMPLETION</t>
  </si>
  <si>
    <t>GENERAL AVERAGE:</t>
  </si>
  <si>
    <t xml:space="preserve">                                                                                  Republic of the Philippines</t>
  </si>
  <si>
    <t>Date of Examination / Assessment (mm/dd/yyyy):</t>
  </si>
  <si>
    <t>Grade Level: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</si>
</sst>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2"/>
      <color theme="1"/>
      <name val="Arial Narrow"/>
      <family val="2"/>
    </font>
    <font>
      <sz val="8"/>
      <name val="Calibri"/>
      <family val="2"/>
      <scheme val="minor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sz val="8"/>
      <color theme="1"/>
      <name val="Arial Narrow"/>
      <family val="2"/>
    </font>
    <font>
      <b/>
      <sz val="16"/>
      <color theme="1"/>
      <name val="Arial Narrow"/>
      <family val="2"/>
    </font>
    <font>
      <sz val="8.5"/>
      <color theme="1"/>
      <name val="Arial Narrow"/>
      <family val="2"/>
    </font>
    <font>
      <b/>
      <sz val="11"/>
      <color theme="0"/>
      <name val="Arial Narrow"/>
      <family val="2"/>
    </font>
    <font>
      <b/>
      <sz val="14"/>
      <color theme="0"/>
      <name val="Arial Narrow"/>
      <family val="2"/>
    </font>
    <font>
      <b/>
      <sz val="9"/>
      <color theme="1"/>
      <name val="Arial Narrow"/>
      <family val="2"/>
    </font>
    <font>
      <b/>
      <sz val="18"/>
      <color theme="1"/>
      <name val="Arial Narrow"/>
      <family val="2"/>
    </font>
    <font>
      <sz val="12"/>
      <color theme="1"/>
      <name val="Arial Narrow"/>
      <family val="2"/>
    </font>
    <font>
      <sz val="11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8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9" xfId="0" applyFont="1" applyBorder="1"/>
    <xf numFmtId="0" fontId="1" fillId="0" borderId="13" xfId="0" applyFont="1" applyBorder="1"/>
    <xf numFmtId="0" fontId="7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1" fillId="0" borderId="18" xfId="0" applyFont="1" applyBorder="1"/>
    <xf numFmtId="0" fontId="8" fillId="0" borderId="20" xfId="0" applyFont="1" applyBorder="1" applyAlignment="1">
      <alignment horizontal="center" vertical="center"/>
    </xf>
    <xf numFmtId="0" fontId="2" fillId="0" borderId="13" xfId="0" applyFont="1" applyBorder="1"/>
    <xf numFmtId="0" fontId="6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1" xfId="0" applyFont="1" applyBorder="1"/>
    <xf numFmtId="0" fontId="1" fillId="0" borderId="15" xfId="0" applyFont="1" applyBorder="1"/>
    <xf numFmtId="0" fontId="1" fillId="0" borderId="24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8" fillId="0" borderId="0" xfId="0" applyFont="1"/>
    <xf numFmtId="0" fontId="6" fillId="0" borderId="29" xfId="0" applyFont="1" applyBorder="1" applyAlignment="1">
      <alignment horizontal="center" vertical="center"/>
    </xf>
    <xf numFmtId="0" fontId="1" fillId="0" borderId="2" xfId="0" applyFont="1" applyBorder="1"/>
    <xf numFmtId="0" fontId="1" fillId="0" borderId="30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0" xfId="0" applyFont="1" applyBorder="1"/>
    <xf numFmtId="0" fontId="8" fillId="0" borderId="13" xfId="0" applyFont="1" applyBorder="1"/>
    <xf numFmtId="0" fontId="8" fillId="0" borderId="14" xfId="0" applyFont="1" applyBorder="1"/>
    <xf numFmtId="0" fontId="1" fillId="0" borderId="34" xfId="0" applyFont="1" applyBorder="1"/>
    <xf numFmtId="0" fontId="2" fillId="0" borderId="24" xfId="0" applyFont="1" applyBorder="1" applyAlignment="1">
      <alignment horizontal="right"/>
    </xf>
    <xf numFmtId="0" fontId="1" fillId="0" borderId="17" xfId="0" applyFont="1" applyBorder="1"/>
    <xf numFmtId="0" fontId="11" fillId="2" borderId="19" xfId="0" applyFont="1" applyFill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3" fillId="0" borderId="13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2" fillId="0" borderId="3" xfId="0" applyFont="1" applyBorder="1" applyAlignment="1">
      <alignment horizontal="center"/>
    </xf>
    <xf numFmtId="0" fontId="2" fillId="0" borderId="15" xfId="0" applyFont="1" applyBorder="1"/>
    <xf numFmtId="0" fontId="11" fillId="0" borderId="19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8" xfId="0" applyFont="1" applyBorder="1"/>
    <xf numFmtId="0" fontId="11" fillId="0" borderId="19" xfId="0" applyFont="1" applyBorder="1"/>
    <xf numFmtId="0" fontId="11" fillId="0" borderId="1" xfId="0" applyFont="1" applyBorder="1"/>
    <xf numFmtId="0" fontId="11" fillId="0" borderId="10" xfId="0" applyFont="1" applyBorder="1"/>
    <xf numFmtId="0" fontId="11" fillId="0" borderId="5" xfId="0" applyFont="1" applyBorder="1"/>
    <xf numFmtId="0" fontId="11" fillId="0" borderId="11" xfId="0" applyFont="1" applyBorder="1"/>
    <xf numFmtId="0" fontId="16" fillId="0" borderId="0" xfId="0" applyFont="1"/>
    <xf numFmtId="0" fontId="16" fillId="0" borderId="35" xfId="0" applyFont="1" applyBorder="1" applyAlignment="1">
      <alignment horizontal="center"/>
    </xf>
    <xf numFmtId="0" fontId="16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2" fillId="0" borderId="37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8" xfId="0" applyFont="1" applyBorder="1" applyAlignment="1">
      <alignment horizontal="right"/>
    </xf>
    <xf numFmtId="0" fontId="2" fillId="0" borderId="39" xfId="0" applyFont="1" applyBorder="1" applyAlignment="1">
      <alignment horizontal="right"/>
    </xf>
    <xf numFmtId="0" fontId="2" fillId="0" borderId="30" xfId="0" applyFont="1" applyBorder="1" applyAlignment="1">
      <alignment horizontal="right"/>
    </xf>
    <xf numFmtId="0" fontId="15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2" fillId="3" borderId="31" xfId="0" applyFont="1" applyFill="1" applyBorder="1" applyAlignment="1">
      <alignment horizontal="center"/>
    </xf>
    <xf numFmtId="0" fontId="12" fillId="3" borderId="32" xfId="0" applyFont="1" applyFill="1" applyBorder="1" applyAlignment="1">
      <alignment horizontal="center"/>
    </xf>
    <xf numFmtId="0" fontId="12" fillId="3" borderId="33" xfId="0" applyFont="1" applyFill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2" fillId="0" borderId="40" xfId="0" applyFont="1" applyBorder="1" applyAlignment="1">
      <alignment horizontal="left"/>
    </xf>
    <xf numFmtId="0" fontId="2" fillId="0" borderId="41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2" fillId="0" borderId="7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7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6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2" fillId="0" borderId="40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7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8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6" fillId="0" borderId="9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" fillId="0" borderId="24" xfId="0" applyFont="1" applyBorder="1" applyAlignment="1">
      <alignment horizontal="right"/>
    </xf>
    <xf numFmtId="0" fontId="8" fillId="0" borderId="12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6" fillId="0" borderId="9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358140</xdr:colOff>
          <xdr:row>12</xdr:row>
          <xdr:rowOff>220980</xdr:rowOff>
        </xdr:from>
        <xdr:to>
          <xdr:col>1</xdr:col>
          <xdr:colOff>403860</xdr:colOff>
          <xdr:row>14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30480</xdr:rowOff>
        </xdr:from>
        <xdr:to>
          <xdr:col>7</xdr:col>
          <xdr:colOff>15240</xdr:colOff>
          <xdr:row>17</xdr:row>
          <xdr:rowOff>15240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358140</xdr:colOff>
          <xdr:row>16</xdr:row>
          <xdr:rowOff>30480</xdr:rowOff>
        </xdr:from>
        <xdr:to>
          <xdr:col>16</xdr:col>
          <xdr:colOff>259080</xdr:colOff>
          <xdr:row>17</xdr:row>
          <xdr:rowOff>15240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7</xdr:col>
      <xdr:colOff>132523</xdr:colOff>
      <xdr:row>0</xdr:row>
      <xdr:rowOff>71867</xdr:rowOff>
    </xdr:from>
    <xdr:to>
      <xdr:col>11</xdr:col>
      <xdr:colOff>70736</xdr:colOff>
      <xdr:row>3</xdr:row>
      <xdr:rowOff>104486</xdr:rowOff>
    </xdr:to>
    <xdr:pic>
      <xdr:nvPicPr>
        <xdr:cNvPr id="2" name="Picture 1" descr="Cavite State University - Wikipedia">
          <a:extLst>
            <a:ext uri="{FF2B5EF4-FFF2-40B4-BE49-F238E27FC236}">
              <a16:creationId xmlns:a16="http://schemas.microsoft.com/office/drawing/2014/main" id="{D740EC97-E8B6-8FD5-D9F4-81828C6C7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2019" y="71867"/>
          <a:ext cx="812856" cy="7283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0B63C-4056-4676-805B-D4A7C251A867}">
  <dimension ref="A1:AE84"/>
  <sheetViews>
    <sheetView tabSelected="1" view="pageBreakPreview" zoomScaleNormal="100" zoomScaleSheetLayoutView="100" workbookViewId="0">
      <selection activeCell="AG6" sqref="AG6"/>
    </sheetView>
  </sheetViews>
  <sheetFormatPr defaultRowHeight="13.8" x14ac:dyDescent="0.25"/>
  <cols>
    <col min="1" max="1" width="7.88671875" style="1" customWidth="1"/>
    <col min="2" max="2" width="9.109375" style="1" customWidth="1"/>
    <col min="3" max="13" width="3.21875" style="1" customWidth="1"/>
    <col min="14" max="14" width="7.44140625" style="1" customWidth="1"/>
    <col min="15" max="15" width="8.5546875" style="1" customWidth="1"/>
    <col min="16" max="16" width="2.6640625" style="1" customWidth="1"/>
    <col min="17" max="17" width="9.109375" style="1" customWidth="1"/>
    <col min="18" max="18" width="8.88671875" style="1"/>
    <col min="19" max="29" width="3.21875" style="1" customWidth="1"/>
    <col min="30" max="30" width="7.44140625" style="1" customWidth="1"/>
    <col min="31" max="31" width="8.5546875" style="1" customWidth="1"/>
    <col min="32" max="16384" width="8.88671875" style="1"/>
  </cols>
  <sheetData>
    <row r="1" spans="1:31" ht="15.6" x14ac:dyDescent="0.3">
      <c r="A1" s="70" t="s">
        <v>158</v>
      </c>
      <c r="B1" s="70"/>
      <c r="C1" s="70"/>
      <c r="D1" s="69" t="s">
        <v>163</v>
      </c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 spans="1:31" ht="23.4" x14ac:dyDescent="0.45">
      <c r="A2" s="95" t="s">
        <v>0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</row>
    <row r="3" spans="1:31" ht="15.6" x14ac:dyDescent="0.3">
      <c r="A3" s="94" t="s">
        <v>1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</row>
    <row r="4" spans="1:31" x14ac:dyDescent="0.25">
      <c r="A4" s="70" t="s">
        <v>2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</row>
    <row r="5" spans="1:31" ht="6.6" customHeight="1" x14ac:dyDescent="0.25"/>
    <row r="6" spans="1:31" ht="20.399999999999999" x14ac:dyDescent="0.35">
      <c r="A6" s="93" t="s">
        <v>92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</row>
    <row r="7" spans="1:31" ht="6" customHeight="1" thickBot="1" x14ac:dyDescent="0.3"/>
    <row r="8" spans="1:31" ht="18.600000000000001" thickBot="1" x14ac:dyDescent="0.4">
      <c r="A8" s="71" t="s">
        <v>3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3"/>
    </row>
    <row r="9" spans="1:31" ht="6.6" customHeight="1" x14ac:dyDescent="0.25"/>
    <row r="10" spans="1:31" x14ac:dyDescent="0.25">
      <c r="A10" s="1" t="s">
        <v>4</v>
      </c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Q10" s="1" t="s">
        <v>5</v>
      </c>
      <c r="R10" s="91"/>
      <c r="S10" s="91"/>
      <c r="T10" s="91"/>
      <c r="U10" s="91"/>
      <c r="W10" s="1" t="s">
        <v>6</v>
      </c>
      <c r="AA10" s="91"/>
      <c r="AB10" s="91"/>
      <c r="AC10" s="91"/>
      <c r="AD10" s="91"/>
      <c r="AE10" s="91"/>
    </row>
    <row r="11" spans="1:31" x14ac:dyDescent="0.25">
      <c r="B11" s="90" t="s">
        <v>93</v>
      </c>
      <c r="C11" s="90"/>
      <c r="D11" s="90"/>
      <c r="E11" s="90"/>
      <c r="F11" s="90"/>
      <c r="G11" s="90" t="s">
        <v>94</v>
      </c>
      <c r="H11" s="90"/>
      <c r="I11" s="90"/>
      <c r="J11" s="90"/>
      <c r="K11" s="90"/>
      <c r="L11" s="90"/>
      <c r="M11" s="90"/>
      <c r="N11" s="90" t="s">
        <v>95</v>
      </c>
      <c r="O11" s="90"/>
      <c r="Q11" s="1" t="s">
        <v>7</v>
      </c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</row>
    <row r="12" spans="1:31" ht="6" customHeight="1" thickBot="1" x14ac:dyDescent="0.3"/>
    <row r="13" spans="1:31" ht="18.600000000000001" thickBot="1" x14ac:dyDescent="0.4">
      <c r="A13" s="71" t="s">
        <v>8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3"/>
    </row>
    <row r="14" spans="1:31" x14ac:dyDescent="0.25">
      <c r="B14" s="1" t="s">
        <v>9</v>
      </c>
      <c r="H14" s="101" t="s">
        <v>97</v>
      </c>
      <c r="I14" s="101"/>
      <c r="J14" s="101"/>
      <c r="K14" s="101"/>
      <c r="L14" s="101"/>
      <c r="M14" s="101"/>
      <c r="N14" s="101"/>
      <c r="O14" s="38"/>
      <c r="Q14" s="1" t="s">
        <v>10</v>
      </c>
      <c r="S14" s="100"/>
      <c r="T14" s="100"/>
      <c r="U14" s="100"/>
      <c r="W14" s="1" t="s">
        <v>12</v>
      </c>
      <c r="AA14" s="100"/>
      <c r="AB14" s="100"/>
      <c r="AC14" s="100"/>
      <c r="AD14" s="100"/>
      <c r="AE14" s="100"/>
    </row>
    <row r="15" spans="1:31" x14ac:dyDescent="0.25">
      <c r="A15" s="101" t="s">
        <v>96</v>
      </c>
      <c r="B15" s="101"/>
      <c r="C15" s="101"/>
      <c r="D15" s="10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Q15" s="1" t="s">
        <v>11</v>
      </c>
      <c r="R15" s="91"/>
      <c r="S15" s="91"/>
      <c r="T15" s="91"/>
      <c r="U15" s="91"/>
      <c r="W15" s="1" t="s">
        <v>13</v>
      </c>
      <c r="AA15" s="102"/>
      <c r="AB15" s="102"/>
      <c r="AC15" s="102"/>
      <c r="AD15" s="102"/>
      <c r="AE15" s="102"/>
    </row>
    <row r="16" spans="1:31" ht="6.6" customHeight="1" thickBot="1" x14ac:dyDescent="0.3"/>
    <row r="17" spans="1:31" ht="18.600000000000001" customHeight="1" x14ac:dyDescent="0.25">
      <c r="A17" s="14" t="s">
        <v>98</v>
      </c>
      <c r="B17" s="14"/>
      <c r="C17" s="14"/>
      <c r="D17" s="14"/>
      <c r="E17" s="14"/>
      <c r="F17" s="14" t="s">
        <v>14</v>
      </c>
      <c r="G17" s="14"/>
      <c r="H17" s="14"/>
      <c r="I17" s="14"/>
      <c r="J17" s="14" t="s">
        <v>15</v>
      </c>
      <c r="K17" s="14"/>
      <c r="L17" s="100"/>
      <c r="M17" s="100"/>
      <c r="N17" s="14"/>
      <c r="O17" s="14"/>
      <c r="P17" s="14" t="s">
        <v>16</v>
      </c>
      <c r="Q17" s="14"/>
      <c r="R17" s="14"/>
      <c r="S17" s="14" t="s">
        <v>15</v>
      </c>
      <c r="T17" s="14"/>
      <c r="U17" s="100"/>
      <c r="V17" s="100"/>
      <c r="W17" s="14"/>
      <c r="X17" s="14" t="s">
        <v>17</v>
      </c>
      <c r="Y17" s="14"/>
      <c r="Z17" s="14"/>
      <c r="AA17" s="14"/>
      <c r="AB17" s="14"/>
      <c r="AC17" s="100"/>
      <c r="AD17" s="100"/>
      <c r="AE17" s="100"/>
    </row>
    <row r="18" spans="1:31" x14ac:dyDescent="0.25">
      <c r="A18" s="1" t="s">
        <v>164</v>
      </c>
      <c r="J18" s="91"/>
      <c r="K18" s="91"/>
      <c r="L18" s="91"/>
      <c r="M18" s="91"/>
      <c r="N18" s="91"/>
      <c r="O18" s="101" t="s">
        <v>18</v>
      </c>
      <c r="P18" s="101"/>
      <c r="Q18" s="101"/>
      <c r="R18" s="101"/>
      <c r="S18" s="10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</row>
    <row r="19" spans="1:31" ht="6" customHeight="1" thickBot="1" x14ac:dyDescent="0.3"/>
    <row r="20" spans="1:31" ht="18.600000000000001" thickBot="1" x14ac:dyDescent="0.4">
      <c r="A20" s="71" t="s">
        <v>160</v>
      </c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3"/>
    </row>
    <row r="21" spans="1:31" ht="6.6" customHeight="1" thickBot="1" x14ac:dyDescent="0.3"/>
    <row r="22" spans="1:31" ht="14.4" customHeight="1" x14ac:dyDescent="0.25">
      <c r="A22" s="13" t="s">
        <v>165</v>
      </c>
      <c r="B22" s="39"/>
      <c r="C22" s="100"/>
      <c r="D22" s="100"/>
      <c r="E22" s="100"/>
      <c r="F22" s="100"/>
      <c r="G22" s="100"/>
      <c r="H22" s="100"/>
      <c r="I22" s="14"/>
      <c r="J22" s="14" t="s">
        <v>19</v>
      </c>
      <c r="K22" s="14"/>
      <c r="L22" s="14"/>
      <c r="M22" s="80"/>
      <c r="N22" s="80"/>
      <c r="O22" s="81"/>
      <c r="Q22" s="13" t="s">
        <v>165</v>
      </c>
      <c r="R22" s="39"/>
      <c r="S22" s="100"/>
      <c r="T22" s="100"/>
      <c r="U22" s="100"/>
      <c r="V22" s="100"/>
      <c r="W22" s="100"/>
      <c r="X22" s="100"/>
      <c r="Y22" s="14"/>
      <c r="Z22" s="14" t="s">
        <v>19</v>
      </c>
      <c r="AA22" s="14"/>
      <c r="AB22" s="14"/>
      <c r="AC22" s="80"/>
      <c r="AD22" s="80"/>
      <c r="AE22" s="81"/>
    </row>
    <row r="23" spans="1:31" x14ac:dyDescent="0.25">
      <c r="A23" s="15" t="s">
        <v>20</v>
      </c>
      <c r="B23" s="77"/>
      <c r="C23" s="78"/>
      <c r="D23" s="78"/>
      <c r="E23" s="78"/>
      <c r="F23" s="78"/>
      <c r="G23" s="78"/>
      <c r="H23" s="78"/>
      <c r="J23" s="1" t="s">
        <v>21</v>
      </c>
      <c r="M23" s="78"/>
      <c r="N23" s="78"/>
      <c r="O23" s="79"/>
      <c r="Q23" s="15" t="s">
        <v>20</v>
      </c>
      <c r="R23" s="77"/>
      <c r="S23" s="78"/>
      <c r="T23" s="78"/>
      <c r="U23" s="78"/>
      <c r="V23" s="78"/>
      <c r="W23" s="78"/>
      <c r="X23" s="78"/>
      <c r="Z23" s="1" t="s">
        <v>21</v>
      </c>
      <c r="AC23" s="78"/>
      <c r="AD23" s="78"/>
      <c r="AE23" s="79"/>
    </row>
    <row r="24" spans="1:31" ht="6.6" customHeight="1" thickBot="1" x14ac:dyDescent="0.3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8"/>
      <c r="Q24" s="16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8"/>
    </row>
    <row r="25" spans="1:31" ht="14.4" customHeight="1" x14ac:dyDescent="0.25">
      <c r="A25" s="6" t="s">
        <v>75</v>
      </c>
      <c r="B25" s="64" t="s">
        <v>22</v>
      </c>
      <c r="C25" s="64"/>
      <c r="D25" s="64"/>
      <c r="E25" s="64"/>
      <c r="F25" s="64"/>
      <c r="G25" s="64"/>
      <c r="H25" s="64"/>
      <c r="I25" s="64"/>
      <c r="J25" s="88" t="s">
        <v>43</v>
      </c>
      <c r="K25" s="88"/>
      <c r="L25" s="88"/>
      <c r="M25" s="88"/>
      <c r="N25" s="82" t="s">
        <v>48</v>
      </c>
      <c r="O25" s="84" t="s">
        <v>49</v>
      </c>
      <c r="Q25" s="6" t="s">
        <v>75</v>
      </c>
      <c r="R25" s="64" t="s">
        <v>22</v>
      </c>
      <c r="S25" s="64"/>
      <c r="T25" s="64"/>
      <c r="U25" s="64"/>
      <c r="V25" s="64"/>
      <c r="W25" s="64"/>
      <c r="X25" s="64"/>
      <c r="Y25" s="64"/>
      <c r="Z25" s="88" t="s">
        <v>43</v>
      </c>
      <c r="AA25" s="88"/>
      <c r="AB25" s="88"/>
      <c r="AC25" s="88"/>
      <c r="AD25" s="82" t="s">
        <v>48</v>
      </c>
      <c r="AE25" s="84" t="s">
        <v>49</v>
      </c>
    </row>
    <row r="26" spans="1:31" ht="13.8" customHeight="1" thickBot="1" x14ac:dyDescent="0.3">
      <c r="A26" s="9" t="s">
        <v>74</v>
      </c>
      <c r="B26" s="76"/>
      <c r="C26" s="76"/>
      <c r="D26" s="76"/>
      <c r="E26" s="76"/>
      <c r="F26" s="76"/>
      <c r="G26" s="76"/>
      <c r="H26" s="76"/>
      <c r="I26" s="76"/>
      <c r="J26" s="10" t="s">
        <v>44</v>
      </c>
      <c r="K26" s="10" t="s">
        <v>45</v>
      </c>
      <c r="L26" s="10" t="s">
        <v>46</v>
      </c>
      <c r="M26" s="10" t="s">
        <v>47</v>
      </c>
      <c r="N26" s="83"/>
      <c r="O26" s="85"/>
      <c r="Q26" s="9" t="s">
        <v>74</v>
      </c>
      <c r="R26" s="76"/>
      <c r="S26" s="76"/>
      <c r="T26" s="76"/>
      <c r="U26" s="76"/>
      <c r="V26" s="76"/>
      <c r="W26" s="76"/>
      <c r="X26" s="76"/>
      <c r="Y26" s="76"/>
      <c r="Z26" s="10" t="s">
        <v>44</v>
      </c>
      <c r="AA26" s="10" t="s">
        <v>45</v>
      </c>
      <c r="AB26" s="10" t="s">
        <v>46</v>
      </c>
      <c r="AC26" s="10" t="s">
        <v>47</v>
      </c>
      <c r="AD26" s="83"/>
      <c r="AE26" s="85"/>
    </row>
    <row r="27" spans="1:31" x14ac:dyDescent="0.25">
      <c r="A27" s="31" t="s">
        <v>50</v>
      </c>
      <c r="B27" s="86" t="s">
        <v>23</v>
      </c>
      <c r="C27" s="86"/>
      <c r="D27" s="86"/>
      <c r="E27" s="86"/>
      <c r="F27" s="86"/>
      <c r="G27" s="86"/>
      <c r="H27" s="86"/>
      <c r="I27" s="86"/>
      <c r="J27" s="34"/>
      <c r="K27" s="34"/>
      <c r="L27" s="34"/>
      <c r="M27" s="34"/>
      <c r="N27" s="33" t="e">
        <f>ROUND(AVERAGE(J27:M27),0)</f>
        <v>#DIV/0!</v>
      </c>
      <c r="O27" s="40" t="e">
        <f>IF(N27&gt;=75,"Passed","Failed")</f>
        <v>#DIV/0!</v>
      </c>
      <c r="Q27" s="31" t="s">
        <v>66</v>
      </c>
      <c r="R27" s="86" t="s">
        <v>23</v>
      </c>
      <c r="S27" s="86"/>
      <c r="T27" s="86"/>
      <c r="U27" s="86"/>
      <c r="V27" s="86"/>
      <c r="W27" s="86"/>
      <c r="X27" s="86"/>
      <c r="Y27" s="86"/>
      <c r="Z27" s="34"/>
      <c r="AA27" s="34"/>
      <c r="AB27" s="34"/>
      <c r="AC27" s="34"/>
      <c r="AD27" s="45" t="e">
        <f>ROUND(AVERAGE(Z27:AC27),0)</f>
        <v>#DIV/0!</v>
      </c>
      <c r="AE27" s="46" t="e">
        <f>IF(AD27&gt;=75,"Passed","Failed")</f>
        <v>#DIV/0!</v>
      </c>
    </row>
    <row r="28" spans="1:31" x14ac:dyDescent="0.25">
      <c r="A28" s="4" t="s">
        <v>51</v>
      </c>
      <c r="B28" s="58" t="s">
        <v>24</v>
      </c>
      <c r="C28" s="58"/>
      <c r="D28" s="58"/>
      <c r="E28" s="58"/>
      <c r="F28" s="58"/>
      <c r="G28" s="58"/>
      <c r="H28" s="58"/>
      <c r="I28" s="58"/>
      <c r="J28" s="35"/>
      <c r="K28" s="35"/>
      <c r="L28" s="35"/>
      <c r="M28" s="35"/>
      <c r="N28" s="33" t="e">
        <f t="shared" ref="N28:N36" si="0">ROUND(AVERAGE(J28:M28),0)</f>
        <v>#DIV/0!</v>
      </c>
      <c r="O28" s="40" t="e">
        <f t="shared" ref="O28:O37" si="1">IF(N28&gt;=75,"Passed","Failed")</f>
        <v>#DIV/0!</v>
      </c>
      <c r="Q28" s="4" t="s">
        <v>67</v>
      </c>
      <c r="R28" s="58" t="s">
        <v>24</v>
      </c>
      <c r="S28" s="58"/>
      <c r="T28" s="58"/>
      <c r="U28" s="58"/>
      <c r="V28" s="58"/>
      <c r="W28" s="58"/>
      <c r="X28" s="58"/>
      <c r="Y28" s="58"/>
      <c r="Z28" s="35"/>
      <c r="AA28" s="35"/>
      <c r="AB28" s="35"/>
      <c r="AC28" s="35"/>
      <c r="AD28" s="47" t="e">
        <f t="shared" ref="AD28:AD36" si="2">ROUND(AVERAGE(Z28:AC28),0)</f>
        <v>#DIV/0!</v>
      </c>
      <c r="AE28" s="48" t="e">
        <f t="shared" ref="AE28:AE37" si="3">IF(AD28&gt;=75,"Passed","Failed")</f>
        <v>#DIV/0!</v>
      </c>
    </row>
    <row r="29" spans="1:31" x14ac:dyDescent="0.25">
      <c r="A29" s="4" t="s">
        <v>53</v>
      </c>
      <c r="B29" s="58" t="s">
        <v>25</v>
      </c>
      <c r="C29" s="58"/>
      <c r="D29" s="58"/>
      <c r="E29" s="58"/>
      <c r="F29" s="58"/>
      <c r="G29" s="58"/>
      <c r="H29" s="58"/>
      <c r="I29" s="58"/>
      <c r="J29" s="35"/>
      <c r="K29" s="35"/>
      <c r="L29" s="35"/>
      <c r="M29" s="35"/>
      <c r="N29" s="33" t="e">
        <f t="shared" si="0"/>
        <v>#DIV/0!</v>
      </c>
      <c r="O29" s="40" t="e">
        <f t="shared" si="1"/>
        <v>#DIV/0!</v>
      </c>
      <c r="Q29" s="4" t="s">
        <v>68</v>
      </c>
      <c r="R29" s="58" t="s">
        <v>25</v>
      </c>
      <c r="S29" s="58"/>
      <c r="T29" s="58"/>
      <c r="U29" s="58"/>
      <c r="V29" s="58"/>
      <c r="W29" s="58"/>
      <c r="X29" s="58"/>
      <c r="Y29" s="58"/>
      <c r="Z29" s="35"/>
      <c r="AA29" s="35"/>
      <c r="AB29" s="35"/>
      <c r="AC29" s="35"/>
      <c r="AD29" s="47" t="e">
        <f t="shared" si="2"/>
        <v>#DIV/0!</v>
      </c>
      <c r="AE29" s="48" t="e">
        <f t="shared" si="3"/>
        <v>#DIV/0!</v>
      </c>
    </row>
    <row r="30" spans="1:31" x14ac:dyDescent="0.25">
      <c r="A30" s="4" t="s">
        <v>52</v>
      </c>
      <c r="B30" s="58" t="s">
        <v>26</v>
      </c>
      <c r="C30" s="58"/>
      <c r="D30" s="58"/>
      <c r="E30" s="58"/>
      <c r="F30" s="58"/>
      <c r="G30" s="58"/>
      <c r="H30" s="58"/>
      <c r="I30" s="58"/>
      <c r="J30" s="35"/>
      <c r="K30" s="35"/>
      <c r="L30" s="35"/>
      <c r="M30" s="35"/>
      <c r="N30" s="33" t="e">
        <f t="shared" si="0"/>
        <v>#DIV/0!</v>
      </c>
      <c r="O30" s="40" t="e">
        <f t="shared" si="1"/>
        <v>#DIV/0!</v>
      </c>
      <c r="Q30" s="4" t="s">
        <v>69</v>
      </c>
      <c r="R30" s="58" t="s">
        <v>26</v>
      </c>
      <c r="S30" s="58"/>
      <c r="T30" s="58"/>
      <c r="U30" s="58"/>
      <c r="V30" s="58"/>
      <c r="W30" s="58"/>
      <c r="X30" s="58"/>
      <c r="Y30" s="58"/>
      <c r="Z30" s="35"/>
      <c r="AA30" s="35"/>
      <c r="AB30" s="35"/>
      <c r="AC30" s="35"/>
      <c r="AD30" s="47" t="e">
        <f t="shared" si="2"/>
        <v>#DIV/0!</v>
      </c>
      <c r="AE30" s="48" t="e">
        <f t="shared" si="3"/>
        <v>#DIV/0!</v>
      </c>
    </row>
    <row r="31" spans="1:31" x14ac:dyDescent="0.25">
      <c r="A31" s="4" t="s">
        <v>54</v>
      </c>
      <c r="B31" s="58" t="s">
        <v>27</v>
      </c>
      <c r="C31" s="58"/>
      <c r="D31" s="58"/>
      <c r="E31" s="58"/>
      <c r="F31" s="58"/>
      <c r="G31" s="58"/>
      <c r="H31" s="58"/>
      <c r="I31" s="58"/>
      <c r="J31" s="35"/>
      <c r="K31" s="35"/>
      <c r="L31" s="35"/>
      <c r="M31" s="35"/>
      <c r="N31" s="33" t="e">
        <f t="shared" si="0"/>
        <v>#DIV/0!</v>
      </c>
      <c r="O31" s="40" t="e">
        <f t="shared" si="1"/>
        <v>#DIV/0!</v>
      </c>
      <c r="Q31" s="4" t="s">
        <v>70</v>
      </c>
      <c r="R31" s="58" t="s">
        <v>27</v>
      </c>
      <c r="S31" s="58"/>
      <c r="T31" s="58"/>
      <c r="U31" s="58"/>
      <c r="V31" s="58"/>
      <c r="W31" s="58"/>
      <c r="X31" s="58"/>
      <c r="Y31" s="58"/>
      <c r="Z31" s="35"/>
      <c r="AA31" s="35"/>
      <c r="AB31" s="35"/>
      <c r="AC31" s="35"/>
      <c r="AD31" s="47" t="e">
        <f t="shared" si="2"/>
        <v>#DIV/0!</v>
      </c>
      <c r="AE31" s="48" t="e">
        <f t="shared" si="3"/>
        <v>#DIV/0!</v>
      </c>
    </row>
    <row r="32" spans="1:31" x14ac:dyDescent="0.25">
      <c r="A32" s="4" t="s">
        <v>55</v>
      </c>
      <c r="B32" s="58" t="s">
        <v>59</v>
      </c>
      <c r="C32" s="58"/>
      <c r="D32" s="58"/>
      <c r="E32" s="58"/>
      <c r="F32" s="58"/>
      <c r="G32" s="58"/>
      <c r="H32" s="58"/>
      <c r="I32" s="58"/>
      <c r="J32" s="35"/>
      <c r="K32" s="35"/>
      <c r="L32" s="35"/>
      <c r="M32" s="35"/>
      <c r="N32" s="33" t="e">
        <f t="shared" si="0"/>
        <v>#DIV/0!</v>
      </c>
      <c r="O32" s="40" t="e">
        <f t="shared" si="1"/>
        <v>#DIV/0!</v>
      </c>
      <c r="Q32" s="4" t="s">
        <v>71</v>
      </c>
      <c r="R32" s="58" t="s">
        <v>59</v>
      </c>
      <c r="S32" s="58"/>
      <c r="T32" s="58"/>
      <c r="U32" s="58"/>
      <c r="V32" s="58"/>
      <c r="W32" s="58"/>
      <c r="X32" s="58"/>
      <c r="Y32" s="58"/>
      <c r="Z32" s="35"/>
      <c r="AA32" s="35"/>
      <c r="AB32" s="35"/>
      <c r="AC32" s="35"/>
      <c r="AD32" s="47" t="e">
        <f t="shared" si="2"/>
        <v>#DIV/0!</v>
      </c>
      <c r="AE32" s="48" t="e">
        <f t="shared" si="3"/>
        <v>#DIV/0!</v>
      </c>
    </row>
    <row r="33" spans="1:31" x14ac:dyDescent="0.25">
      <c r="A33" s="4" t="s">
        <v>56</v>
      </c>
      <c r="B33" s="59" t="s">
        <v>62</v>
      </c>
      <c r="C33" s="58"/>
      <c r="D33" s="58"/>
      <c r="E33" s="58"/>
      <c r="F33" s="58"/>
      <c r="G33" s="58"/>
      <c r="H33" s="58"/>
      <c r="I33" s="58"/>
      <c r="J33" s="35"/>
      <c r="K33" s="35"/>
      <c r="L33" s="35"/>
      <c r="M33" s="35"/>
      <c r="N33" s="33" t="e">
        <f t="shared" si="0"/>
        <v>#DIV/0!</v>
      </c>
      <c r="O33" s="40" t="e">
        <f t="shared" si="1"/>
        <v>#DIV/0!</v>
      </c>
      <c r="Q33" s="4" t="s">
        <v>72</v>
      </c>
      <c r="R33" s="89" t="s">
        <v>63</v>
      </c>
      <c r="S33" s="89"/>
      <c r="T33" s="89"/>
      <c r="U33" s="89"/>
      <c r="V33" s="89"/>
      <c r="W33" s="89"/>
      <c r="X33" s="89"/>
      <c r="Y33" s="89"/>
      <c r="Z33" s="35"/>
      <c r="AA33" s="35"/>
      <c r="AB33" s="35"/>
      <c r="AC33" s="35"/>
      <c r="AD33" s="47" t="e">
        <f t="shared" si="2"/>
        <v>#DIV/0!</v>
      </c>
      <c r="AE33" s="48" t="e">
        <f t="shared" si="3"/>
        <v>#DIV/0!</v>
      </c>
    </row>
    <row r="34" spans="1:31" x14ac:dyDescent="0.25">
      <c r="A34" s="4" t="s">
        <v>57</v>
      </c>
      <c r="B34" s="58" t="s">
        <v>28</v>
      </c>
      <c r="C34" s="58"/>
      <c r="D34" s="58"/>
      <c r="E34" s="58"/>
      <c r="F34" s="58"/>
      <c r="G34" s="58"/>
      <c r="H34" s="58"/>
      <c r="I34" s="58"/>
      <c r="J34" s="35"/>
      <c r="K34" s="35"/>
      <c r="L34" s="35"/>
      <c r="M34" s="35"/>
      <c r="N34" s="33" t="e">
        <f t="shared" si="0"/>
        <v>#DIV/0!</v>
      </c>
      <c r="O34" s="40" t="e">
        <f t="shared" si="1"/>
        <v>#DIV/0!</v>
      </c>
      <c r="Q34" s="4" t="s">
        <v>73</v>
      </c>
      <c r="R34" s="58" t="s">
        <v>28</v>
      </c>
      <c r="S34" s="58"/>
      <c r="T34" s="58"/>
      <c r="U34" s="58"/>
      <c r="V34" s="58"/>
      <c r="W34" s="58"/>
      <c r="X34" s="58"/>
      <c r="Y34" s="58"/>
      <c r="Z34" s="35"/>
      <c r="AA34" s="35"/>
      <c r="AB34" s="35"/>
      <c r="AC34" s="35"/>
      <c r="AD34" s="47" t="e">
        <f t="shared" si="2"/>
        <v>#DIV/0!</v>
      </c>
      <c r="AE34" s="48" t="e">
        <f t="shared" si="3"/>
        <v>#DIV/0!</v>
      </c>
    </row>
    <row r="35" spans="1:31" x14ac:dyDescent="0.25">
      <c r="A35" s="4" t="s">
        <v>58</v>
      </c>
      <c r="B35" s="58" t="s">
        <v>29</v>
      </c>
      <c r="C35" s="58"/>
      <c r="D35" s="58"/>
      <c r="E35" s="58"/>
      <c r="F35" s="58"/>
      <c r="G35" s="58"/>
      <c r="H35" s="58"/>
      <c r="I35" s="58"/>
      <c r="J35" s="35"/>
      <c r="K35" s="35"/>
      <c r="L35" s="35"/>
      <c r="M35" s="35"/>
      <c r="N35" s="33" t="e">
        <f t="shared" si="0"/>
        <v>#DIV/0!</v>
      </c>
      <c r="O35" s="40" t="e">
        <f t="shared" si="1"/>
        <v>#DIV/0!</v>
      </c>
      <c r="Q35" s="4" t="s">
        <v>64</v>
      </c>
      <c r="R35" s="58" t="s">
        <v>65</v>
      </c>
      <c r="S35" s="58"/>
      <c r="T35" s="58"/>
      <c r="U35" s="58"/>
      <c r="V35" s="58"/>
      <c r="W35" s="58"/>
      <c r="X35" s="58"/>
      <c r="Y35" s="58"/>
      <c r="Z35" s="35"/>
      <c r="AA35" s="35"/>
      <c r="AB35" s="35"/>
      <c r="AC35" s="35"/>
      <c r="AD35" s="47" t="e">
        <f t="shared" si="2"/>
        <v>#DIV/0!</v>
      </c>
      <c r="AE35" s="48" t="e">
        <f t="shared" si="3"/>
        <v>#DIV/0!</v>
      </c>
    </row>
    <row r="36" spans="1:31" x14ac:dyDescent="0.25">
      <c r="A36" s="4"/>
      <c r="B36" s="87"/>
      <c r="C36" s="87"/>
      <c r="D36" s="87"/>
      <c r="E36" s="87"/>
      <c r="F36" s="87"/>
      <c r="G36" s="87"/>
      <c r="H36" s="87"/>
      <c r="I36" s="87"/>
      <c r="J36" s="35"/>
      <c r="K36" s="35"/>
      <c r="L36" s="35"/>
      <c r="M36" s="35"/>
      <c r="N36" s="33" t="e">
        <f t="shared" si="0"/>
        <v>#DIV/0!</v>
      </c>
      <c r="O36" s="32" t="e">
        <f t="shared" si="1"/>
        <v>#DIV/0!</v>
      </c>
      <c r="Q36" s="4" t="s">
        <v>86</v>
      </c>
      <c r="R36" s="58" t="s">
        <v>87</v>
      </c>
      <c r="S36" s="58"/>
      <c r="T36" s="58"/>
      <c r="U36" s="58"/>
      <c r="V36" s="58"/>
      <c r="W36" s="58"/>
      <c r="X36" s="58"/>
      <c r="Y36" s="58"/>
      <c r="Z36" s="35"/>
      <c r="AA36" s="35"/>
      <c r="AB36" s="35"/>
      <c r="AC36" s="35"/>
      <c r="AD36" s="47" t="e">
        <f t="shared" si="2"/>
        <v>#DIV/0!</v>
      </c>
      <c r="AE36" s="48" t="e">
        <f t="shared" si="3"/>
        <v>#DIV/0!</v>
      </c>
    </row>
    <row r="37" spans="1:31" ht="14.4" customHeight="1" thickBot="1" x14ac:dyDescent="0.3">
      <c r="A37" s="66" t="s">
        <v>162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8"/>
      <c r="N37" s="43" t="e">
        <f>ROUND(AVERAGE(N27:N36),0)</f>
        <v>#DIV/0!</v>
      </c>
      <c r="O37" s="40" t="e">
        <f t="shared" si="1"/>
        <v>#DIV/0!</v>
      </c>
      <c r="Q37" s="66" t="s">
        <v>162</v>
      </c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8"/>
      <c r="AD37" s="49" t="e">
        <f>ROUND(AVERAGE(AD27:AD36),0)</f>
        <v>#DIV/0!</v>
      </c>
      <c r="AE37" s="50" t="e">
        <f t="shared" si="3"/>
        <v>#DIV/0!</v>
      </c>
    </row>
    <row r="38" spans="1:31" ht="13.8" customHeight="1" x14ac:dyDescent="0.25">
      <c r="A38" s="74" t="s">
        <v>30</v>
      </c>
      <c r="B38" s="64"/>
      <c r="C38" s="11" t="s">
        <v>31</v>
      </c>
      <c r="D38" s="11" t="s">
        <v>32</v>
      </c>
      <c r="E38" s="11" t="s">
        <v>33</v>
      </c>
      <c r="F38" s="11" t="s">
        <v>34</v>
      </c>
      <c r="G38" s="11" t="s">
        <v>35</v>
      </c>
      <c r="H38" s="11" t="s">
        <v>36</v>
      </c>
      <c r="I38" s="11" t="s">
        <v>37</v>
      </c>
      <c r="J38" s="11" t="s">
        <v>38</v>
      </c>
      <c r="K38" s="11" t="s">
        <v>39</v>
      </c>
      <c r="L38" s="11" t="s">
        <v>40</v>
      </c>
      <c r="M38" s="11" t="s">
        <v>41</v>
      </c>
      <c r="N38" s="60" t="s">
        <v>60</v>
      </c>
      <c r="O38" s="61"/>
      <c r="Q38" s="74" t="s">
        <v>30</v>
      </c>
      <c r="R38" s="64"/>
      <c r="S38" s="11" t="s">
        <v>31</v>
      </c>
      <c r="T38" s="11" t="s">
        <v>32</v>
      </c>
      <c r="U38" s="11" t="s">
        <v>33</v>
      </c>
      <c r="V38" s="11" t="s">
        <v>34</v>
      </c>
      <c r="W38" s="11" t="s">
        <v>35</v>
      </c>
      <c r="X38" s="11" t="s">
        <v>36</v>
      </c>
      <c r="Y38" s="11" t="s">
        <v>37</v>
      </c>
      <c r="Z38" s="11" t="s">
        <v>38</v>
      </c>
      <c r="AA38" s="11" t="s">
        <v>39</v>
      </c>
      <c r="AB38" s="11" t="s">
        <v>40</v>
      </c>
      <c r="AC38" s="11" t="s">
        <v>41</v>
      </c>
      <c r="AD38" s="60" t="s">
        <v>60</v>
      </c>
      <c r="AE38" s="61"/>
    </row>
    <row r="39" spans="1:31" ht="15" customHeight="1" thickBot="1" x14ac:dyDescent="0.3">
      <c r="A39" s="75"/>
      <c r="B39" s="7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62">
        <f>SUM(C39:M39)</f>
        <v>0</v>
      </c>
      <c r="O39" s="63"/>
      <c r="Q39" s="75"/>
      <c r="R39" s="7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62">
        <f>SUM(S39:AC39)</f>
        <v>0</v>
      </c>
      <c r="AE39" s="63"/>
    </row>
    <row r="40" spans="1:31" ht="13.2" customHeight="1" x14ac:dyDescent="0.25">
      <c r="A40" s="56" t="s">
        <v>42</v>
      </c>
      <c r="B40" s="5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54">
        <f>SUM(C40:M40)</f>
        <v>0</v>
      </c>
      <c r="O40" s="55"/>
      <c r="Q40" s="56" t="s">
        <v>42</v>
      </c>
      <c r="R40" s="57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54">
        <f>SUM(S40:AC40)</f>
        <v>0</v>
      </c>
      <c r="AE40" s="55"/>
    </row>
    <row r="41" spans="1:31" ht="15" customHeight="1" thickBot="1" x14ac:dyDescent="0.3">
      <c r="A41" s="75" t="s">
        <v>61</v>
      </c>
      <c r="B41" s="7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2">
        <f>SUM(C41:M41)</f>
        <v>0</v>
      </c>
      <c r="O41" s="53"/>
      <c r="Q41" s="75" t="s">
        <v>61</v>
      </c>
      <c r="R41" s="76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2">
        <f>SUM(S41:AC41)</f>
        <v>0</v>
      </c>
      <c r="AE41" s="53"/>
    </row>
    <row r="42" spans="1:31" ht="17.399999999999999" customHeight="1" thickBot="1" x14ac:dyDescent="0.3">
      <c r="A42" s="12"/>
      <c r="B42" s="12"/>
      <c r="Q42" s="12"/>
      <c r="R42" s="12"/>
    </row>
    <row r="43" spans="1:31" ht="14.4" customHeight="1" x14ac:dyDescent="0.25">
      <c r="A43" s="13" t="s">
        <v>165</v>
      </c>
      <c r="B43" s="39"/>
      <c r="C43" s="100"/>
      <c r="D43" s="100"/>
      <c r="E43" s="100"/>
      <c r="F43" s="100"/>
      <c r="G43" s="100"/>
      <c r="H43" s="100"/>
      <c r="I43" s="14"/>
      <c r="J43" s="14" t="s">
        <v>19</v>
      </c>
      <c r="K43" s="14"/>
      <c r="L43" s="14"/>
      <c r="M43" s="80"/>
      <c r="N43" s="80"/>
      <c r="O43" s="81"/>
      <c r="Q43" s="13" t="s">
        <v>165</v>
      </c>
      <c r="R43" s="39"/>
      <c r="S43" s="100"/>
      <c r="T43" s="100"/>
      <c r="U43" s="100"/>
      <c r="V43" s="100"/>
      <c r="W43" s="100"/>
      <c r="X43" s="100"/>
      <c r="Y43" s="14"/>
      <c r="Z43" s="14" t="s">
        <v>19</v>
      </c>
      <c r="AA43" s="14"/>
      <c r="AB43" s="14"/>
      <c r="AC43" s="80"/>
      <c r="AD43" s="80"/>
      <c r="AE43" s="81"/>
    </row>
    <row r="44" spans="1:31" x14ac:dyDescent="0.25">
      <c r="A44" s="15" t="s">
        <v>20</v>
      </c>
      <c r="B44" s="77"/>
      <c r="C44" s="78"/>
      <c r="D44" s="78"/>
      <c r="E44" s="78"/>
      <c r="F44" s="78"/>
      <c r="G44" s="78"/>
      <c r="H44" s="78"/>
      <c r="J44" s="1" t="s">
        <v>21</v>
      </c>
      <c r="M44" s="78"/>
      <c r="N44" s="78"/>
      <c r="O44" s="79"/>
      <c r="Q44" s="15" t="s">
        <v>20</v>
      </c>
      <c r="R44" s="77"/>
      <c r="S44" s="78"/>
      <c r="T44" s="78"/>
      <c r="U44" s="78"/>
      <c r="V44" s="78"/>
      <c r="W44" s="78"/>
      <c r="X44" s="78"/>
      <c r="Z44" s="1" t="s">
        <v>21</v>
      </c>
      <c r="AC44" s="78"/>
      <c r="AD44" s="78"/>
      <c r="AE44" s="79"/>
    </row>
    <row r="45" spans="1:31" ht="6.6" customHeight="1" thickBot="1" x14ac:dyDescent="0.3">
      <c r="A45" s="16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8"/>
      <c r="Q45" s="16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8"/>
    </row>
    <row r="46" spans="1:31" x14ac:dyDescent="0.25">
      <c r="A46" s="6" t="s">
        <v>75</v>
      </c>
      <c r="B46" s="64" t="s">
        <v>22</v>
      </c>
      <c r="C46" s="64"/>
      <c r="D46" s="64"/>
      <c r="E46" s="64"/>
      <c r="F46" s="64"/>
      <c r="G46" s="64"/>
      <c r="H46" s="64"/>
      <c r="I46" s="64"/>
      <c r="J46" s="88" t="s">
        <v>43</v>
      </c>
      <c r="K46" s="88"/>
      <c r="L46" s="88"/>
      <c r="M46" s="88"/>
      <c r="N46" s="82" t="s">
        <v>48</v>
      </c>
      <c r="O46" s="84" t="s">
        <v>49</v>
      </c>
      <c r="Q46" s="6" t="s">
        <v>75</v>
      </c>
      <c r="R46" s="64" t="s">
        <v>22</v>
      </c>
      <c r="S46" s="64"/>
      <c r="T46" s="64"/>
      <c r="U46" s="64"/>
      <c r="V46" s="64"/>
      <c r="W46" s="64"/>
      <c r="X46" s="64"/>
      <c r="Y46" s="64"/>
      <c r="Z46" s="88" t="s">
        <v>43</v>
      </c>
      <c r="AA46" s="88"/>
      <c r="AB46" s="88"/>
      <c r="AC46" s="88"/>
      <c r="AD46" s="82" t="s">
        <v>48</v>
      </c>
      <c r="AE46" s="84" t="s">
        <v>49</v>
      </c>
    </row>
    <row r="47" spans="1:31" ht="14.4" thickBot="1" x14ac:dyDescent="0.3">
      <c r="A47" s="9" t="s">
        <v>74</v>
      </c>
      <c r="B47" s="76"/>
      <c r="C47" s="76"/>
      <c r="D47" s="76"/>
      <c r="E47" s="76"/>
      <c r="F47" s="76"/>
      <c r="G47" s="76"/>
      <c r="H47" s="76"/>
      <c r="I47" s="76"/>
      <c r="J47" s="10" t="s">
        <v>44</v>
      </c>
      <c r="K47" s="10" t="s">
        <v>45</v>
      </c>
      <c r="L47" s="10" t="s">
        <v>46</v>
      </c>
      <c r="M47" s="10" t="s">
        <v>47</v>
      </c>
      <c r="N47" s="83"/>
      <c r="O47" s="85"/>
      <c r="Q47" s="7" t="s">
        <v>74</v>
      </c>
      <c r="R47" s="65"/>
      <c r="S47" s="65"/>
      <c r="T47" s="65"/>
      <c r="U47" s="65"/>
      <c r="V47" s="65"/>
      <c r="W47" s="65"/>
      <c r="X47" s="65"/>
      <c r="Y47" s="65"/>
      <c r="Z47" s="3" t="s">
        <v>44</v>
      </c>
      <c r="AA47" s="3" t="s">
        <v>45</v>
      </c>
      <c r="AB47" s="3" t="s">
        <v>46</v>
      </c>
      <c r="AC47" s="3" t="s">
        <v>47</v>
      </c>
      <c r="AD47" s="103"/>
      <c r="AE47" s="104"/>
    </row>
    <row r="48" spans="1:31" x14ac:dyDescent="0.25">
      <c r="A48" s="31" t="s">
        <v>76</v>
      </c>
      <c r="B48" s="86" t="s">
        <v>23</v>
      </c>
      <c r="C48" s="86"/>
      <c r="D48" s="86"/>
      <c r="E48" s="86"/>
      <c r="F48" s="86"/>
      <c r="G48" s="86"/>
      <c r="H48" s="86"/>
      <c r="I48" s="86"/>
      <c r="J48" s="34"/>
      <c r="K48" s="34"/>
      <c r="L48" s="34"/>
      <c r="M48" s="34"/>
      <c r="N48" s="33" t="e">
        <f>ROUND(AVERAGE(J48:M48),0)</f>
        <v>#DIV/0!</v>
      </c>
      <c r="O48" s="40" t="e">
        <f>IF(N48&gt;=75,"Passed","Failed")</f>
        <v>#DIV/0!</v>
      </c>
      <c r="Q48" s="4" t="s">
        <v>99</v>
      </c>
      <c r="R48" s="58" t="s">
        <v>23</v>
      </c>
      <c r="S48" s="58"/>
      <c r="T48" s="58"/>
      <c r="U48" s="58"/>
      <c r="V48" s="58"/>
      <c r="W48" s="58"/>
      <c r="X48" s="58"/>
      <c r="Y48" s="58"/>
      <c r="Z48" s="34"/>
      <c r="AA48" s="34"/>
      <c r="AB48" s="34"/>
      <c r="AC48" s="34"/>
      <c r="AD48" s="45" t="e">
        <f>ROUND(AVERAGE(Z48:AC48),0)</f>
        <v>#DIV/0!</v>
      </c>
      <c r="AE48" s="46" t="e">
        <f>IF(AD48&gt;=75,"Passed","Failed")</f>
        <v>#DIV/0!</v>
      </c>
    </row>
    <row r="49" spans="1:31" x14ac:dyDescent="0.25">
      <c r="A49" s="4" t="s">
        <v>77</v>
      </c>
      <c r="B49" s="58" t="s">
        <v>24</v>
      </c>
      <c r="C49" s="58"/>
      <c r="D49" s="58"/>
      <c r="E49" s="58"/>
      <c r="F49" s="58"/>
      <c r="G49" s="58"/>
      <c r="H49" s="58"/>
      <c r="I49" s="58"/>
      <c r="J49" s="35"/>
      <c r="K49" s="35"/>
      <c r="L49" s="35"/>
      <c r="M49" s="35"/>
      <c r="N49" s="41" t="e">
        <f t="shared" ref="N49:N57" si="4">ROUND(AVERAGE(J49:M49),0)</f>
        <v>#DIV/0!</v>
      </c>
      <c r="O49" s="42" t="e">
        <f t="shared" ref="O49:O58" si="5">IF(N49&gt;=75,"Passed","Failed")</f>
        <v>#DIV/0!</v>
      </c>
      <c r="Q49" s="4" t="s">
        <v>100</v>
      </c>
      <c r="R49" s="58" t="s">
        <v>24</v>
      </c>
      <c r="S49" s="58"/>
      <c r="T49" s="58"/>
      <c r="U49" s="58"/>
      <c r="V49" s="58"/>
      <c r="W49" s="58"/>
      <c r="X49" s="58"/>
      <c r="Y49" s="58"/>
      <c r="Z49" s="35"/>
      <c r="AA49" s="35"/>
      <c r="AB49" s="35"/>
      <c r="AC49" s="35"/>
      <c r="AD49" s="47" t="e">
        <f t="shared" ref="AD49:AD57" si="6">ROUND(AVERAGE(Z49:AC49),0)</f>
        <v>#DIV/0!</v>
      </c>
      <c r="AE49" s="48" t="e">
        <f t="shared" ref="AE49:AE58" si="7">IF(AD49&gt;=75,"Passed","Failed")</f>
        <v>#DIV/0!</v>
      </c>
    </row>
    <row r="50" spans="1:31" x14ac:dyDescent="0.25">
      <c r="A50" s="4" t="s">
        <v>78</v>
      </c>
      <c r="B50" s="58" t="s">
        <v>25</v>
      </c>
      <c r="C50" s="58"/>
      <c r="D50" s="58"/>
      <c r="E50" s="58"/>
      <c r="F50" s="58"/>
      <c r="G50" s="58"/>
      <c r="H50" s="58"/>
      <c r="I50" s="58"/>
      <c r="J50" s="35"/>
      <c r="K50" s="35"/>
      <c r="L50" s="35"/>
      <c r="M50" s="35"/>
      <c r="N50" s="41" t="e">
        <f t="shared" si="4"/>
        <v>#DIV/0!</v>
      </c>
      <c r="O50" s="42" t="e">
        <f t="shared" si="5"/>
        <v>#DIV/0!</v>
      </c>
      <c r="Q50" s="4" t="s">
        <v>101</v>
      </c>
      <c r="R50" s="58" t="s">
        <v>25</v>
      </c>
      <c r="S50" s="58"/>
      <c r="T50" s="58"/>
      <c r="U50" s="58"/>
      <c r="V50" s="58"/>
      <c r="W50" s="58"/>
      <c r="X50" s="58"/>
      <c r="Y50" s="58"/>
      <c r="Z50" s="35"/>
      <c r="AA50" s="35"/>
      <c r="AB50" s="35"/>
      <c r="AC50" s="35"/>
      <c r="AD50" s="47" t="e">
        <f t="shared" si="6"/>
        <v>#DIV/0!</v>
      </c>
      <c r="AE50" s="48" t="e">
        <f t="shared" si="7"/>
        <v>#DIV/0!</v>
      </c>
    </row>
    <row r="51" spans="1:31" x14ac:dyDescent="0.25">
      <c r="A51" s="4" t="s">
        <v>79</v>
      </c>
      <c r="B51" s="58" t="s">
        <v>26</v>
      </c>
      <c r="C51" s="58"/>
      <c r="D51" s="58"/>
      <c r="E51" s="58"/>
      <c r="F51" s="58"/>
      <c r="G51" s="58"/>
      <c r="H51" s="58"/>
      <c r="I51" s="58"/>
      <c r="J51" s="35"/>
      <c r="K51" s="35"/>
      <c r="L51" s="35"/>
      <c r="M51" s="35"/>
      <c r="N51" s="41" t="e">
        <f t="shared" si="4"/>
        <v>#DIV/0!</v>
      </c>
      <c r="O51" s="42" t="e">
        <f t="shared" si="5"/>
        <v>#DIV/0!</v>
      </c>
      <c r="Q51" s="4" t="s">
        <v>102</v>
      </c>
      <c r="R51" s="58" t="s">
        <v>26</v>
      </c>
      <c r="S51" s="58"/>
      <c r="T51" s="58"/>
      <c r="U51" s="58"/>
      <c r="V51" s="58"/>
      <c r="W51" s="58"/>
      <c r="X51" s="58"/>
      <c r="Y51" s="58"/>
      <c r="Z51" s="35"/>
      <c r="AA51" s="35"/>
      <c r="AB51" s="35"/>
      <c r="AC51" s="35"/>
      <c r="AD51" s="47" t="e">
        <f t="shared" si="6"/>
        <v>#DIV/0!</v>
      </c>
      <c r="AE51" s="48" t="e">
        <f t="shared" si="7"/>
        <v>#DIV/0!</v>
      </c>
    </row>
    <row r="52" spans="1:31" x14ac:dyDescent="0.25">
      <c r="A52" s="4" t="s">
        <v>80</v>
      </c>
      <c r="B52" s="58" t="s">
        <v>27</v>
      </c>
      <c r="C52" s="58"/>
      <c r="D52" s="58"/>
      <c r="E52" s="58"/>
      <c r="F52" s="58"/>
      <c r="G52" s="58"/>
      <c r="H52" s="58"/>
      <c r="I52" s="58"/>
      <c r="J52" s="35"/>
      <c r="K52" s="35"/>
      <c r="L52" s="35"/>
      <c r="M52" s="35"/>
      <c r="N52" s="41" t="e">
        <f t="shared" si="4"/>
        <v>#DIV/0!</v>
      </c>
      <c r="O52" s="42" t="e">
        <f t="shared" si="5"/>
        <v>#DIV/0!</v>
      </c>
      <c r="Q52" s="4" t="s">
        <v>103</v>
      </c>
      <c r="R52" s="58" t="s">
        <v>27</v>
      </c>
      <c r="S52" s="58"/>
      <c r="T52" s="58"/>
      <c r="U52" s="58"/>
      <c r="V52" s="58"/>
      <c r="W52" s="58"/>
      <c r="X52" s="58"/>
      <c r="Y52" s="58"/>
      <c r="Z52" s="35"/>
      <c r="AA52" s="35"/>
      <c r="AB52" s="35"/>
      <c r="AC52" s="35"/>
      <c r="AD52" s="47" t="e">
        <f t="shared" si="6"/>
        <v>#DIV/0!</v>
      </c>
      <c r="AE52" s="48" t="e">
        <f t="shared" si="7"/>
        <v>#DIV/0!</v>
      </c>
    </row>
    <row r="53" spans="1:31" x14ac:dyDescent="0.25">
      <c r="A53" s="4" t="s">
        <v>81</v>
      </c>
      <c r="B53" s="58" t="s">
        <v>59</v>
      </c>
      <c r="C53" s="58"/>
      <c r="D53" s="58"/>
      <c r="E53" s="58"/>
      <c r="F53" s="58"/>
      <c r="G53" s="58"/>
      <c r="H53" s="58"/>
      <c r="I53" s="58"/>
      <c r="J53" s="35"/>
      <c r="K53" s="35"/>
      <c r="L53" s="35"/>
      <c r="M53" s="35"/>
      <c r="N53" s="41" t="e">
        <f t="shared" si="4"/>
        <v>#DIV/0!</v>
      </c>
      <c r="O53" s="42" t="e">
        <f t="shared" si="5"/>
        <v>#DIV/0!</v>
      </c>
      <c r="Q53" s="4" t="s">
        <v>104</v>
      </c>
      <c r="R53" s="58" t="s">
        <v>59</v>
      </c>
      <c r="S53" s="58"/>
      <c r="T53" s="58"/>
      <c r="U53" s="58"/>
      <c r="V53" s="58"/>
      <c r="W53" s="58"/>
      <c r="X53" s="58"/>
      <c r="Y53" s="58"/>
      <c r="Z53" s="35"/>
      <c r="AA53" s="35"/>
      <c r="AB53" s="35"/>
      <c r="AC53" s="35"/>
      <c r="AD53" s="47" t="e">
        <f t="shared" si="6"/>
        <v>#DIV/0!</v>
      </c>
      <c r="AE53" s="48" t="e">
        <f t="shared" si="7"/>
        <v>#DIV/0!</v>
      </c>
    </row>
    <row r="54" spans="1:31" x14ac:dyDescent="0.25">
      <c r="A54" s="4" t="s">
        <v>82</v>
      </c>
      <c r="B54" s="58" t="s">
        <v>109</v>
      </c>
      <c r="C54" s="58"/>
      <c r="D54" s="58"/>
      <c r="E54" s="58"/>
      <c r="F54" s="58"/>
      <c r="G54" s="58"/>
      <c r="H54" s="58"/>
      <c r="I54" s="58"/>
      <c r="J54" s="35"/>
      <c r="K54" s="35"/>
      <c r="L54" s="35"/>
      <c r="M54" s="35"/>
      <c r="N54" s="41" t="e">
        <f t="shared" si="4"/>
        <v>#DIV/0!</v>
      </c>
      <c r="O54" s="42" t="e">
        <f t="shared" si="5"/>
        <v>#DIV/0!</v>
      </c>
      <c r="Q54" s="4" t="s">
        <v>105</v>
      </c>
      <c r="R54" s="58" t="s">
        <v>109</v>
      </c>
      <c r="S54" s="58"/>
      <c r="T54" s="58"/>
      <c r="U54" s="58"/>
      <c r="V54" s="58"/>
      <c r="W54" s="58"/>
      <c r="X54" s="58"/>
      <c r="Y54" s="58"/>
      <c r="Z54" s="35"/>
      <c r="AA54" s="35"/>
      <c r="AB54" s="35"/>
      <c r="AC54" s="35"/>
      <c r="AD54" s="47" t="e">
        <f t="shared" si="6"/>
        <v>#DIV/0!</v>
      </c>
      <c r="AE54" s="48" t="e">
        <f t="shared" si="7"/>
        <v>#DIV/0!</v>
      </c>
    </row>
    <row r="55" spans="1:31" x14ac:dyDescent="0.25">
      <c r="A55" s="4" t="s">
        <v>83</v>
      </c>
      <c r="B55" s="58" t="s">
        <v>28</v>
      </c>
      <c r="C55" s="58"/>
      <c r="D55" s="58"/>
      <c r="E55" s="58"/>
      <c r="F55" s="58"/>
      <c r="G55" s="58"/>
      <c r="H55" s="58"/>
      <c r="I55" s="58"/>
      <c r="J55" s="35"/>
      <c r="K55" s="35"/>
      <c r="L55" s="35"/>
      <c r="M55" s="35"/>
      <c r="N55" s="41" t="e">
        <f t="shared" si="4"/>
        <v>#DIV/0!</v>
      </c>
      <c r="O55" s="42" t="e">
        <f t="shared" si="5"/>
        <v>#DIV/0!</v>
      </c>
      <c r="Q55" s="4" t="s">
        <v>106</v>
      </c>
      <c r="R55" s="58" t="s">
        <v>28</v>
      </c>
      <c r="S55" s="58"/>
      <c r="T55" s="58"/>
      <c r="U55" s="58"/>
      <c r="V55" s="58"/>
      <c r="W55" s="58"/>
      <c r="X55" s="58"/>
      <c r="Y55" s="58"/>
      <c r="Z55" s="35"/>
      <c r="AA55" s="35"/>
      <c r="AB55" s="35"/>
      <c r="AC55" s="35"/>
      <c r="AD55" s="47" t="e">
        <f t="shared" si="6"/>
        <v>#DIV/0!</v>
      </c>
      <c r="AE55" s="48" t="e">
        <f t="shared" si="7"/>
        <v>#DIV/0!</v>
      </c>
    </row>
    <row r="56" spans="1:31" x14ac:dyDescent="0.25">
      <c r="A56" s="4" t="s">
        <v>84</v>
      </c>
      <c r="B56" s="58" t="s">
        <v>85</v>
      </c>
      <c r="C56" s="58"/>
      <c r="D56" s="58"/>
      <c r="E56" s="58"/>
      <c r="F56" s="58"/>
      <c r="G56" s="58"/>
      <c r="H56" s="58"/>
      <c r="I56" s="58"/>
      <c r="J56" s="35"/>
      <c r="K56" s="35"/>
      <c r="L56" s="35"/>
      <c r="M56" s="35"/>
      <c r="N56" s="41" t="e">
        <f t="shared" si="4"/>
        <v>#DIV/0!</v>
      </c>
      <c r="O56" s="42" t="e">
        <f t="shared" si="5"/>
        <v>#DIV/0!</v>
      </c>
      <c r="Q56" s="4" t="s">
        <v>107</v>
      </c>
      <c r="R56" s="58" t="s">
        <v>108</v>
      </c>
      <c r="S56" s="58"/>
      <c r="T56" s="58"/>
      <c r="U56" s="58"/>
      <c r="V56" s="58"/>
      <c r="W56" s="58"/>
      <c r="X56" s="58"/>
      <c r="Y56" s="58"/>
      <c r="Z56" s="35"/>
      <c r="AA56" s="35"/>
      <c r="AB56" s="35"/>
      <c r="AC56" s="35"/>
      <c r="AD56" s="47" t="e">
        <f t="shared" si="6"/>
        <v>#DIV/0!</v>
      </c>
      <c r="AE56" s="48" t="e">
        <f t="shared" si="7"/>
        <v>#DIV/0!</v>
      </c>
    </row>
    <row r="57" spans="1:31" x14ac:dyDescent="0.25">
      <c r="A57" s="4" t="s">
        <v>88</v>
      </c>
      <c r="B57" s="58" t="s">
        <v>89</v>
      </c>
      <c r="C57" s="58"/>
      <c r="D57" s="58"/>
      <c r="E57" s="58"/>
      <c r="F57" s="58"/>
      <c r="G57" s="58"/>
      <c r="H57" s="58"/>
      <c r="I57" s="58"/>
      <c r="J57" s="35"/>
      <c r="K57" s="35"/>
      <c r="L57" s="35"/>
      <c r="M57" s="35"/>
      <c r="N57" s="41" t="e">
        <f t="shared" si="4"/>
        <v>#DIV/0!</v>
      </c>
      <c r="O57" s="42" t="e">
        <f t="shared" si="5"/>
        <v>#DIV/0!</v>
      </c>
      <c r="Q57" s="4" t="s">
        <v>90</v>
      </c>
      <c r="R57" s="58" t="s">
        <v>91</v>
      </c>
      <c r="S57" s="58"/>
      <c r="T57" s="58"/>
      <c r="U57" s="58"/>
      <c r="V57" s="58"/>
      <c r="W57" s="58"/>
      <c r="X57" s="58"/>
      <c r="Y57" s="58"/>
      <c r="Z57" s="35"/>
      <c r="AA57" s="35"/>
      <c r="AB57" s="35"/>
      <c r="AC57" s="35"/>
      <c r="AD57" s="47" t="e">
        <f t="shared" si="6"/>
        <v>#DIV/0!</v>
      </c>
      <c r="AE57" s="48" t="e">
        <f t="shared" si="7"/>
        <v>#DIV/0!</v>
      </c>
    </row>
    <row r="58" spans="1:31" ht="15" customHeight="1" thickBot="1" x14ac:dyDescent="0.3">
      <c r="A58" s="66" t="s">
        <v>162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8"/>
      <c r="N58" s="43" t="e">
        <f>ROUND(AVERAGE(N48:N57),0)</f>
        <v>#DIV/0!</v>
      </c>
      <c r="O58" s="44" t="e">
        <f t="shared" si="5"/>
        <v>#DIV/0!</v>
      </c>
      <c r="Q58" s="66" t="s">
        <v>162</v>
      </c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8"/>
      <c r="AD58" s="49" t="e">
        <f>ROUND(AVERAGE(AD48:AD57),0)</f>
        <v>#DIV/0!</v>
      </c>
      <c r="AE58" s="50" t="e">
        <f t="shared" si="7"/>
        <v>#DIV/0!</v>
      </c>
    </row>
    <row r="59" spans="1:31" x14ac:dyDescent="0.25">
      <c r="A59" s="74" t="s">
        <v>30</v>
      </c>
      <c r="B59" s="96"/>
      <c r="C59" s="20" t="s">
        <v>31</v>
      </c>
      <c r="D59" s="11" t="s">
        <v>32</v>
      </c>
      <c r="E59" s="11" t="s">
        <v>33</v>
      </c>
      <c r="F59" s="11" t="s">
        <v>34</v>
      </c>
      <c r="G59" s="11" t="s">
        <v>35</v>
      </c>
      <c r="H59" s="11" t="s">
        <v>36</v>
      </c>
      <c r="I59" s="11" t="s">
        <v>37</v>
      </c>
      <c r="J59" s="11" t="s">
        <v>38</v>
      </c>
      <c r="K59" s="11" t="s">
        <v>39</v>
      </c>
      <c r="L59" s="11" t="s">
        <v>40</v>
      </c>
      <c r="M59" s="11" t="s">
        <v>41</v>
      </c>
      <c r="N59" s="60" t="s">
        <v>60</v>
      </c>
      <c r="O59" s="61"/>
      <c r="Q59" s="74" t="s">
        <v>30</v>
      </c>
      <c r="R59" s="96"/>
      <c r="S59" s="20" t="s">
        <v>31</v>
      </c>
      <c r="T59" s="11" t="s">
        <v>32</v>
      </c>
      <c r="U59" s="11" t="s">
        <v>33</v>
      </c>
      <c r="V59" s="11" t="s">
        <v>34</v>
      </c>
      <c r="W59" s="11" t="s">
        <v>35</v>
      </c>
      <c r="X59" s="11" t="s">
        <v>36</v>
      </c>
      <c r="Y59" s="11" t="s">
        <v>37</v>
      </c>
      <c r="Z59" s="11" t="s">
        <v>38</v>
      </c>
      <c r="AA59" s="11" t="s">
        <v>39</v>
      </c>
      <c r="AB59" s="11" t="s">
        <v>40</v>
      </c>
      <c r="AC59" s="11" t="s">
        <v>41</v>
      </c>
      <c r="AD59" s="60" t="s">
        <v>60</v>
      </c>
      <c r="AE59" s="61"/>
    </row>
    <row r="60" spans="1:31" ht="15" customHeight="1" thickBot="1" x14ac:dyDescent="0.3">
      <c r="A60" s="75"/>
      <c r="B60" s="97"/>
      <c r="C60" s="37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62">
        <f>SUM(C60:M60)</f>
        <v>0</v>
      </c>
      <c r="O60" s="63"/>
      <c r="Q60" s="75"/>
      <c r="R60" s="97"/>
      <c r="S60" s="37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62">
        <f>SUM(S60:AC60)</f>
        <v>0</v>
      </c>
      <c r="AE60" s="63"/>
    </row>
    <row r="61" spans="1:31" x14ac:dyDescent="0.25">
      <c r="A61" s="56" t="s">
        <v>42</v>
      </c>
      <c r="B61" s="98"/>
      <c r="C61" s="21"/>
      <c r="D61" s="8"/>
      <c r="E61" s="8"/>
      <c r="F61" s="8"/>
      <c r="G61" s="8"/>
      <c r="H61" s="8"/>
      <c r="I61" s="8"/>
      <c r="J61" s="8"/>
      <c r="K61" s="8"/>
      <c r="L61" s="8"/>
      <c r="M61" s="8"/>
      <c r="N61" s="54">
        <f>SUM(C61:M61)</f>
        <v>0</v>
      </c>
      <c r="O61" s="55"/>
      <c r="Q61" s="56" t="s">
        <v>42</v>
      </c>
      <c r="R61" s="98"/>
      <c r="S61" s="21"/>
      <c r="T61" s="8"/>
      <c r="U61" s="8"/>
      <c r="V61" s="8"/>
      <c r="W61" s="8"/>
      <c r="X61" s="8"/>
      <c r="Y61" s="8"/>
      <c r="Z61" s="8"/>
      <c r="AA61" s="8"/>
      <c r="AB61" s="8"/>
      <c r="AC61" s="8"/>
      <c r="AD61" s="54">
        <f>SUM(S61:AC61)</f>
        <v>0</v>
      </c>
      <c r="AE61" s="55"/>
    </row>
    <row r="62" spans="1:31" ht="14.4" thickBot="1" x14ac:dyDescent="0.3">
      <c r="A62" s="75" t="s">
        <v>61</v>
      </c>
      <c r="B62" s="97"/>
      <c r="C62" s="22"/>
      <c r="D62" s="5"/>
      <c r="E62" s="5"/>
      <c r="F62" s="5"/>
      <c r="G62" s="5"/>
      <c r="H62" s="5"/>
      <c r="I62" s="5"/>
      <c r="J62" s="5"/>
      <c r="K62" s="5"/>
      <c r="L62" s="5"/>
      <c r="M62" s="5"/>
      <c r="N62" s="52">
        <f>SUM(C62:M62)</f>
        <v>0</v>
      </c>
      <c r="O62" s="53"/>
      <c r="Q62" s="75" t="s">
        <v>61</v>
      </c>
      <c r="R62" s="97"/>
      <c r="S62" s="22"/>
      <c r="T62" s="5"/>
      <c r="U62" s="5"/>
      <c r="V62" s="5"/>
      <c r="W62" s="5"/>
      <c r="X62" s="5"/>
      <c r="Y62" s="5"/>
      <c r="Z62" s="5"/>
      <c r="AA62" s="5"/>
      <c r="AB62" s="5"/>
      <c r="AC62" s="5"/>
      <c r="AD62" s="52">
        <f>SUM(S62:AC62)</f>
        <v>0</v>
      </c>
      <c r="AE62" s="53"/>
    </row>
    <row r="63" spans="1:31" ht="6" customHeight="1" thickBot="1" x14ac:dyDescent="0.3"/>
    <row r="64" spans="1:31" ht="18.600000000000001" thickBot="1" x14ac:dyDescent="0.4">
      <c r="A64" s="71" t="s">
        <v>161</v>
      </c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3"/>
    </row>
    <row r="65" spans="1:31" s="2" customFormat="1" x14ac:dyDescent="0.25">
      <c r="A65" s="111" t="s">
        <v>118</v>
      </c>
      <c r="B65" s="88"/>
      <c r="C65" s="88"/>
      <c r="D65" s="88"/>
      <c r="E65" s="88"/>
      <c r="F65" s="88"/>
      <c r="G65" s="88"/>
      <c r="H65" s="112"/>
      <c r="I65" s="111" t="s">
        <v>119</v>
      </c>
      <c r="J65" s="88"/>
      <c r="K65" s="88"/>
      <c r="L65" s="88"/>
      <c r="M65" s="88"/>
      <c r="N65" s="88"/>
      <c r="O65" s="112"/>
      <c r="P65" s="111" t="s">
        <v>120</v>
      </c>
      <c r="Q65" s="88"/>
      <c r="R65" s="88"/>
      <c r="S65" s="88"/>
      <c r="T65" s="88"/>
      <c r="U65" s="88"/>
      <c r="V65" s="88"/>
      <c r="W65" s="88"/>
      <c r="X65" s="112"/>
      <c r="Y65" s="111" t="s">
        <v>121</v>
      </c>
      <c r="Z65" s="88"/>
      <c r="AA65" s="88"/>
      <c r="AB65" s="88"/>
      <c r="AC65" s="88"/>
      <c r="AD65" s="88"/>
      <c r="AE65" s="112"/>
    </row>
    <row r="66" spans="1:31" s="19" customFormat="1" ht="20.399999999999999" customHeight="1" x14ac:dyDescent="0.2">
      <c r="A66" s="107" t="s">
        <v>115</v>
      </c>
      <c r="B66" s="99"/>
      <c r="C66" s="99" t="s">
        <v>116</v>
      </c>
      <c r="D66" s="99"/>
      <c r="E66" s="99"/>
      <c r="F66" s="99" t="s">
        <v>117</v>
      </c>
      <c r="G66" s="99"/>
      <c r="H66" s="110"/>
      <c r="I66" s="107" t="s">
        <v>115</v>
      </c>
      <c r="J66" s="99"/>
      <c r="K66" s="99"/>
      <c r="L66" s="99"/>
      <c r="M66" s="99"/>
      <c r="N66" s="24" t="s">
        <v>116</v>
      </c>
      <c r="O66" s="25" t="s">
        <v>117</v>
      </c>
      <c r="P66" s="107" t="s">
        <v>115</v>
      </c>
      <c r="Q66" s="99"/>
      <c r="R66" s="99"/>
      <c r="S66" s="99" t="s">
        <v>116</v>
      </c>
      <c r="T66" s="99"/>
      <c r="U66" s="99"/>
      <c r="V66" s="99" t="s">
        <v>117</v>
      </c>
      <c r="W66" s="99"/>
      <c r="X66" s="110"/>
      <c r="Y66" s="107" t="s">
        <v>115</v>
      </c>
      <c r="Z66" s="99"/>
      <c r="AA66" s="99"/>
      <c r="AB66" s="99"/>
      <c r="AC66" s="99"/>
      <c r="AD66" s="24" t="s">
        <v>116</v>
      </c>
      <c r="AE66" s="25" t="s">
        <v>117</v>
      </c>
    </row>
    <row r="67" spans="1:31" ht="14.4" x14ac:dyDescent="0.3">
      <c r="A67" s="105" t="s">
        <v>110</v>
      </c>
      <c r="B67" s="106"/>
      <c r="C67" s="99"/>
      <c r="D67" s="99"/>
      <c r="E67" s="99"/>
      <c r="F67" s="99"/>
      <c r="G67" s="99"/>
      <c r="H67" s="110"/>
      <c r="I67" s="108" t="s">
        <v>125</v>
      </c>
      <c r="J67" s="109"/>
      <c r="K67" s="109"/>
      <c r="L67" s="109"/>
      <c r="M67" s="109"/>
      <c r="N67" s="23"/>
      <c r="O67" s="26"/>
      <c r="P67" s="105" t="s">
        <v>134</v>
      </c>
      <c r="Q67" s="106"/>
      <c r="R67" s="106"/>
      <c r="S67" s="99"/>
      <c r="T67" s="99"/>
      <c r="U67" s="99"/>
      <c r="V67" s="99"/>
      <c r="W67" s="99"/>
      <c r="X67" s="110"/>
      <c r="Y67" s="108" t="s">
        <v>143</v>
      </c>
      <c r="Z67" s="109"/>
      <c r="AA67" s="109"/>
      <c r="AB67" s="109"/>
      <c r="AC67" s="109"/>
      <c r="AD67" s="23"/>
      <c r="AE67" s="26"/>
    </row>
    <row r="68" spans="1:31" ht="14.4" x14ac:dyDescent="0.3">
      <c r="A68" s="105" t="s">
        <v>111</v>
      </c>
      <c r="B68" s="106"/>
      <c r="C68" s="99"/>
      <c r="D68" s="99"/>
      <c r="E68" s="99"/>
      <c r="F68" s="99"/>
      <c r="G68" s="99"/>
      <c r="H68" s="110"/>
      <c r="I68" s="108" t="s">
        <v>126</v>
      </c>
      <c r="J68" s="109"/>
      <c r="K68" s="109"/>
      <c r="L68" s="109"/>
      <c r="M68" s="109"/>
      <c r="N68" s="23"/>
      <c r="O68" s="26"/>
      <c r="P68" s="105" t="s">
        <v>135</v>
      </c>
      <c r="Q68" s="106"/>
      <c r="R68" s="106"/>
      <c r="S68" s="99"/>
      <c r="T68" s="99"/>
      <c r="U68" s="99"/>
      <c r="V68" s="99"/>
      <c r="W68" s="99"/>
      <c r="X68" s="110"/>
      <c r="Y68" s="108" t="s">
        <v>144</v>
      </c>
      <c r="Z68" s="109"/>
      <c r="AA68" s="109"/>
      <c r="AB68" s="109"/>
      <c r="AC68" s="109"/>
      <c r="AD68" s="23"/>
      <c r="AE68" s="26"/>
    </row>
    <row r="69" spans="1:31" ht="14.4" x14ac:dyDescent="0.3">
      <c r="A69" s="105" t="s">
        <v>112</v>
      </c>
      <c r="B69" s="106"/>
      <c r="C69" s="99"/>
      <c r="D69" s="99"/>
      <c r="E69" s="99"/>
      <c r="F69" s="99"/>
      <c r="G69" s="99"/>
      <c r="H69" s="110"/>
      <c r="I69" s="108" t="s">
        <v>127</v>
      </c>
      <c r="J69" s="109"/>
      <c r="K69" s="109"/>
      <c r="L69" s="109"/>
      <c r="M69" s="109"/>
      <c r="N69" s="23"/>
      <c r="O69" s="26"/>
      <c r="P69" s="105" t="s">
        <v>136</v>
      </c>
      <c r="Q69" s="106"/>
      <c r="R69" s="106"/>
      <c r="S69" s="99"/>
      <c r="T69" s="99"/>
      <c r="U69" s="99"/>
      <c r="V69" s="99"/>
      <c r="W69" s="99"/>
      <c r="X69" s="110"/>
      <c r="Y69" s="108" t="s">
        <v>145</v>
      </c>
      <c r="Z69" s="109"/>
      <c r="AA69" s="109"/>
      <c r="AB69" s="109"/>
      <c r="AC69" s="109"/>
      <c r="AD69" s="23"/>
      <c r="AE69" s="26"/>
    </row>
    <row r="70" spans="1:31" ht="14.4" x14ac:dyDescent="0.3">
      <c r="A70" s="105" t="s">
        <v>113</v>
      </c>
      <c r="B70" s="106"/>
      <c r="C70" s="99"/>
      <c r="D70" s="99"/>
      <c r="E70" s="99"/>
      <c r="F70" s="99"/>
      <c r="G70" s="99"/>
      <c r="H70" s="110"/>
      <c r="I70" s="108" t="s">
        <v>128</v>
      </c>
      <c r="J70" s="109"/>
      <c r="K70" s="109"/>
      <c r="L70" s="109"/>
      <c r="M70" s="109"/>
      <c r="N70" s="23"/>
      <c r="O70" s="26"/>
      <c r="P70" s="105" t="s">
        <v>137</v>
      </c>
      <c r="Q70" s="106"/>
      <c r="R70" s="106"/>
      <c r="S70" s="99"/>
      <c r="T70" s="99"/>
      <c r="U70" s="99"/>
      <c r="V70" s="99"/>
      <c r="W70" s="99"/>
      <c r="X70" s="110"/>
      <c r="Y70" s="108" t="s">
        <v>146</v>
      </c>
      <c r="Z70" s="109"/>
      <c r="AA70" s="109"/>
      <c r="AB70" s="109"/>
      <c r="AC70" s="109"/>
      <c r="AD70" s="23"/>
      <c r="AE70" s="26"/>
    </row>
    <row r="71" spans="1:31" ht="14.4" x14ac:dyDescent="0.3">
      <c r="A71" s="105" t="s">
        <v>114</v>
      </c>
      <c r="B71" s="106"/>
      <c r="C71" s="99"/>
      <c r="D71" s="99"/>
      <c r="E71" s="99"/>
      <c r="F71" s="99"/>
      <c r="G71" s="99"/>
      <c r="H71" s="110"/>
      <c r="I71" s="108" t="s">
        <v>129</v>
      </c>
      <c r="J71" s="109"/>
      <c r="K71" s="109"/>
      <c r="L71" s="109"/>
      <c r="M71" s="109"/>
      <c r="N71" s="23"/>
      <c r="O71" s="26"/>
      <c r="P71" s="105" t="s">
        <v>138</v>
      </c>
      <c r="Q71" s="106"/>
      <c r="R71" s="106"/>
      <c r="S71" s="99"/>
      <c r="T71" s="99"/>
      <c r="U71" s="99"/>
      <c r="V71" s="99"/>
      <c r="W71" s="99"/>
      <c r="X71" s="110"/>
      <c r="Y71" s="108" t="s">
        <v>147</v>
      </c>
      <c r="Z71" s="109"/>
      <c r="AA71" s="109"/>
      <c r="AB71" s="109"/>
      <c r="AC71" s="109"/>
      <c r="AD71" s="23"/>
      <c r="AE71" s="26"/>
    </row>
    <row r="72" spans="1:31" ht="14.4" x14ac:dyDescent="0.3">
      <c r="A72" s="105" t="s">
        <v>55</v>
      </c>
      <c r="B72" s="106"/>
      <c r="C72" s="99"/>
      <c r="D72" s="99"/>
      <c r="E72" s="99"/>
      <c r="F72" s="99"/>
      <c r="G72" s="99"/>
      <c r="H72" s="110"/>
      <c r="I72" s="108" t="s">
        <v>71</v>
      </c>
      <c r="J72" s="109"/>
      <c r="K72" s="109"/>
      <c r="L72" s="109"/>
      <c r="M72" s="109"/>
      <c r="N72" s="23"/>
      <c r="O72" s="26"/>
      <c r="P72" s="105" t="s">
        <v>81</v>
      </c>
      <c r="Q72" s="106"/>
      <c r="R72" s="106"/>
      <c r="S72" s="99"/>
      <c r="T72" s="99"/>
      <c r="U72" s="99"/>
      <c r="V72" s="99"/>
      <c r="W72" s="99"/>
      <c r="X72" s="110"/>
      <c r="Y72" s="108" t="s">
        <v>104</v>
      </c>
      <c r="Z72" s="109"/>
      <c r="AA72" s="109"/>
      <c r="AB72" s="109"/>
      <c r="AC72" s="109"/>
      <c r="AD72" s="23"/>
      <c r="AE72" s="26"/>
    </row>
    <row r="73" spans="1:31" ht="13.8" customHeight="1" x14ac:dyDescent="0.3">
      <c r="A73" s="115" t="s">
        <v>122</v>
      </c>
      <c r="B73" s="59"/>
      <c r="C73" s="99"/>
      <c r="D73" s="99"/>
      <c r="E73" s="99"/>
      <c r="F73" s="99"/>
      <c r="G73" s="99"/>
      <c r="H73" s="110"/>
      <c r="I73" s="132" t="s">
        <v>130</v>
      </c>
      <c r="J73" s="133"/>
      <c r="K73" s="133"/>
      <c r="L73" s="133"/>
      <c r="M73" s="133"/>
      <c r="N73" s="23"/>
      <c r="O73" s="26"/>
      <c r="P73" s="105" t="s">
        <v>139</v>
      </c>
      <c r="Q73" s="106"/>
      <c r="R73" s="106"/>
      <c r="S73" s="99"/>
      <c r="T73" s="99"/>
      <c r="U73" s="99"/>
      <c r="V73" s="99"/>
      <c r="W73" s="99"/>
      <c r="X73" s="110"/>
      <c r="Y73" s="108" t="s">
        <v>148</v>
      </c>
      <c r="Z73" s="109"/>
      <c r="AA73" s="109"/>
      <c r="AB73" s="109"/>
      <c r="AC73" s="109"/>
      <c r="AD73" s="23"/>
      <c r="AE73" s="26"/>
    </row>
    <row r="74" spans="1:31" ht="13.8" customHeight="1" x14ac:dyDescent="0.3">
      <c r="A74" s="113" t="s">
        <v>123</v>
      </c>
      <c r="B74" s="114"/>
      <c r="C74" s="99"/>
      <c r="D74" s="99"/>
      <c r="E74" s="99"/>
      <c r="F74" s="99"/>
      <c r="G74" s="99"/>
      <c r="H74" s="110"/>
      <c r="I74" s="130" t="s">
        <v>131</v>
      </c>
      <c r="J74" s="131"/>
      <c r="K74" s="131"/>
      <c r="L74" s="131"/>
      <c r="M74" s="131"/>
      <c r="N74" s="23"/>
      <c r="O74" s="26"/>
      <c r="P74" s="113" t="s">
        <v>140</v>
      </c>
      <c r="Q74" s="114"/>
      <c r="R74" s="114"/>
      <c r="S74" s="99"/>
      <c r="T74" s="99"/>
      <c r="U74" s="99"/>
      <c r="V74" s="99"/>
      <c r="W74" s="99"/>
      <c r="X74" s="110"/>
      <c r="Y74" s="130" t="s">
        <v>149</v>
      </c>
      <c r="Z74" s="131"/>
      <c r="AA74" s="131"/>
      <c r="AB74" s="131"/>
      <c r="AC74" s="131"/>
      <c r="AD74" s="23"/>
      <c r="AE74" s="26"/>
    </row>
    <row r="75" spans="1:31" ht="14.4" x14ac:dyDescent="0.3">
      <c r="A75" s="105" t="s">
        <v>124</v>
      </c>
      <c r="B75" s="106"/>
      <c r="C75" s="99"/>
      <c r="D75" s="99"/>
      <c r="E75" s="99"/>
      <c r="F75" s="99"/>
      <c r="G75" s="99"/>
      <c r="H75" s="110"/>
      <c r="I75" s="132" t="s">
        <v>132</v>
      </c>
      <c r="J75" s="133"/>
      <c r="K75" s="133"/>
      <c r="L75" s="133"/>
      <c r="M75" s="133"/>
      <c r="N75" s="23"/>
      <c r="O75" s="26"/>
      <c r="P75" s="105" t="s">
        <v>141</v>
      </c>
      <c r="Q75" s="106"/>
      <c r="R75" s="106"/>
      <c r="S75" s="99"/>
      <c r="T75" s="99"/>
      <c r="U75" s="99"/>
      <c r="V75" s="99"/>
      <c r="W75" s="99"/>
      <c r="X75" s="110"/>
      <c r="Y75" s="132" t="s">
        <v>150</v>
      </c>
      <c r="Z75" s="133"/>
      <c r="AA75" s="133"/>
      <c r="AB75" s="133"/>
      <c r="AC75" s="133"/>
      <c r="AD75" s="23"/>
      <c r="AE75" s="26"/>
    </row>
    <row r="76" spans="1:31" ht="13.8" customHeight="1" thickBot="1" x14ac:dyDescent="0.35">
      <c r="A76" s="126"/>
      <c r="B76" s="127"/>
      <c r="C76" s="119"/>
      <c r="D76" s="119"/>
      <c r="E76" s="119"/>
      <c r="F76" s="119"/>
      <c r="G76" s="119"/>
      <c r="H76" s="120"/>
      <c r="I76" s="121" t="s">
        <v>133</v>
      </c>
      <c r="J76" s="122"/>
      <c r="K76" s="122"/>
      <c r="L76" s="122"/>
      <c r="M76" s="122"/>
      <c r="N76" s="27"/>
      <c r="O76" s="28"/>
      <c r="P76" s="128" t="s">
        <v>142</v>
      </c>
      <c r="Q76" s="129"/>
      <c r="R76" s="129"/>
      <c r="S76" s="119"/>
      <c r="T76" s="119"/>
      <c r="U76" s="119"/>
      <c r="V76" s="119"/>
      <c r="W76" s="119"/>
      <c r="X76" s="120"/>
      <c r="Y76" s="121" t="s">
        <v>151</v>
      </c>
      <c r="Z76" s="122"/>
      <c r="AA76" s="122"/>
      <c r="AB76" s="122"/>
      <c r="AC76" s="122"/>
      <c r="AD76" s="27"/>
      <c r="AE76" s="28"/>
    </row>
    <row r="77" spans="1:31" ht="6" customHeight="1" thickBot="1" x14ac:dyDescent="0.3"/>
    <row r="78" spans="1:31" ht="18.600000000000001" thickBot="1" x14ac:dyDescent="0.4">
      <c r="A78" s="71" t="s">
        <v>152</v>
      </c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3"/>
    </row>
    <row r="79" spans="1:31" ht="6.6" customHeight="1" x14ac:dyDescent="0.25">
      <c r="A79" s="15"/>
      <c r="AE79" s="29"/>
    </row>
    <row r="80" spans="1:31" x14ac:dyDescent="0.25">
      <c r="A80" s="125" t="s">
        <v>159</v>
      </c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23">
        <f>B10</f>
        <v>0</v>
      </c>
      <c r="T80" s="123"/>
      <c r="U80" s="123"/>
      <c r="V80" s="123"/>
      <c r="W80" s="123"/>
      <c r="X80" s="123"/>
      <c r="Y80" s="123"/>
      <c r="Z80" s="123"/>
      <c r="AA80" s="123"/>
      <c r="AB80" s="123"/>
      <c r="AC80" s="123"/>
      <c r="AD80" s="123"/>
      <c r="AE80" s="124"/>
    </row>
    <row r="81" spans="1:31" x14ac:dyDescent="0.25">
      <c r="A81" s="15" t="s">
        <v>153</v>
      </c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" t="s">
        <v>154</v>
      </c>
      <c r="AA81" s="51"/>
      <c r="AE81" s="29"/>
    </row>
    <row r="82" spans="1:31" x14ac:dyDescent="0.25">
      <c r="A82" s="15"/>
      <c r="AE82" s="29"/>
    </row>
    <row r="83" spans="1:31" ht="15.6" x14ac:dyDescent="0.3">
      <c r="A83" s="30" t="s">
        <v>155</v>
      </c>
      <c r="B83" s="116"/>
      <c r="C83" s="116"/>
      <c r="D83" s="116"/>
      <c r="E83" s="116"/>
      <c r="F83" s="116"/>
      <c r="G83" s="116"/>
      <c r="H83" s="116"/>
      <c r="S83" s="117" t="s">
        <v>157</v>
      </c>
      <c r="T83" s="117"/>
      <c r="U83" s="117"/>
      <c r="V83" s="117"/>
      <c r="W83" s="117"/>
      <c r="X83" s="117"/>
      <c r="Y83" s="117"/>
      <c r="Z83" s="117"/>
      <c r="AA83" s="117"/>
      <c r="AB83" s="117"/>
      <c r="AC83" s="117"/>
      <c r="AD83" s="117"/>
      <c r="AE83" s="29"/>
    </row>
    <row r="84" spans="1:31" ht="15" thickBot="1" x14ac:dyDescent="0.35">
      <c r="A84" s="16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18" t="s">
        <v>156</v>
      </c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8"/>
    </row>
  </sheetData>
  <mergeCells count="233">
    <mergeCell ref="A75:B75"/>
    <mergeCell ref="J18:N18"/>
    <mergeCell ref="O18:S18"/>
    <mergeCell ref="R10:U10"/>
    <mergeCell ref="T18:AE18"/>
    <mergeCell ref="U17:V17"/>
    <mergeCell ref="C22:H22"/>
    <mergeCell ref="S22:X22"/>
    <mergeCell ref="C43:H43"/>
    <mergeCell ref="S43:X43"/>
    <mergeCell ref="I72:M72"/>
    <mergeCell ref="I73:M73"/>
    <mergeCell ref="I74:M74"/>
    <mergeCell ref="I75:M75"/>
    <mergeCell ref="C67:E67"/>
    <mergeCell ref="S72:U72"/>
    <mergeCell ref="V72:X72"/>
    <mergeCell ref="Y72:AC72"/>
    <mergeCell ref="S73:U73"/>
    <mergeCell ref="V73:X73"/>
    <mergeCell ref="C81:O81"/>
    <mergeCell ref="B83:H83"/>
    <mergeCell ref="S83:AD83"/>
    <mergeCell ref="S84:AD84"/>
    <mergeCell ref="V76:X76"/>
    <mergeCell ref="Y76:AC76"/>
    <mergeCell ref="A78:AE78"/>
    <mergeCell ref="S80:AE80"/>
    <mergeCell ref="A80:R80"/>
    <mergeCell ref="A76:B76"/>
    <mergeCell ref="C76:E76"/>
    <mergeCell ref="F76:H76"/>
    <mergeCell ref="I76:M76"/>
    <mergeCell ref="P76:R76"/>
    <mergeCell ref="S76:U76"/>
    <mergeCell ref="C73:E73"/>
    <mergeCell ref="C74:E74"/>
    <mergeCell ref="C75:E75"/>
    <mergeCell ref="Y73:AC73"/>
    <mergeCell ref="V69:X69"/>
    <mergeCell ref="Y69:AC69"/>
    <mergeCell ref="S70:U70"/>
    <mergeCell ref="V70:X70"/>
    <mergeCell ref="Y70:AC70"/>
    <mergeCell ref="S71:U71"/>
    <mergeCell ref="V71:X71"/>
    <mergeCell ref="Y71:AC71"/>
    <mergeCell ref="Y74:AC74"/>
    <mergeCell ref="S75:U75"/>
    <mergeCell ref="V75:X75"/>
    <mergeCell ref="Y75:AC75"/>
    <mergeCell ref="P74:R74"/>
    <mergeCell ref="P75:R75"/>
    <mergeCell ref="A65:H65"/>
    <mergeCell ref="I65:O65"/>
    <mergeCell ref="P65:X65"/>
    <mergeCell ref="A72:B72"/>
    <mergeCell ref="A73:B73"/>
    <mergeCell ref="A74:B74"/>
    <mergeCell ref="P68:R68"/>
    <mergeCell ref="P69:R69"/>
    <mergeCell ref="P70:R70"/>
    <mergeCell ref="P71:R71"/>
    <mergeCell ref="P72:R72"/>
    <mergeCell ref="P73:R73"/>
    <mergeCell ref="S66:U66"/>
    <mergeCell ref="V66:X66"/>
    <mergeCell ref="P66:R66"/>
    <mergeCell ref="P67:R67"/>
    <mergeCell ref="F73:H73"/>
    <mergeCell ref="F74:H74"/>
    <mergeCell ref="F75:H75"/>
    <mergeCell ref="S74:U74"/>
    <mergeCell ref="V74:X74"/>
    <mergeCell ref="C72:E72"/>
    <mergeCell ref="Y65:AE65"/>
    <mergeCell ref="A67:B67"/>
    <mergeCell ref="A68:B68"/>
    <mergeCell ref="F67:H67"/>
    <mergeCell ref="F68:H68"/>
    <mergeCell ref="F69:H69"/>
    <mergeCell ref="F70:H70"/>
    <mergeCell ref="F71:H71"/>
    <mergeCell ref="F72:H72"/>
    <mergeCell ref="A69:B69"/>
    <mergeCell ref="A70:B70"/>
    <mergeCell ref="A71:B71"/>
    <mergeCell ref="C68:E68"/>
    <mergeCell ref="C69:E69"/>
    <mergeCell ref="C70:E70"/>
    <mergeCell ref="C71:E71"/>
    <mergeCell ref="Y66:AC66"/>
    <mergeCell ref="Y67:AC67"/>
    <mergeCell ref="V68:X68"/>
    <mergeCell ref="Y68:AC68"/>
    <mergeCell ref="S69:U69"/>
    <mergeCell ref="I67:M67"/>
    <mergeCell ref="I68:M68"/>
    <mergeCell ref="I69:M69"/>
    <mergeCell ref="I70:M70"/>
    <mergeCell ref="I71:M71"/>
    <mergeCell ref="A66:B66"/>
    <mergeCell ref="F66:H66"/>
    <mergeCell ref="I66:M66"/>
    <mergeCell ref="S67:U67"/>
    <mergeCell ref="V67:X67"/>
    <mergeCell ref="S68:U68"/>
    <mergeCell ref="A64:AE64"/>
    <mergeCell ref="C66:E66"/>
    <mergeCell ref="S14:U14"/>
    <mergeCell ref="AA14:AE14"/>
    <mergeCell ref="H14:N14"/>
    <mergeCell ref="AC17:AE17"/>
    <mergeCell ref="L17:M17"/>
    <mergeCell ref="AC43:AE43"/>
    <mergeCell ref="B44:H44"/>
    <mergeCell ref="M44:O44"/>
    <mergeCell ref="R44:X44"/>
    <mergeCell ref="AC44:AE44"/>
    <mergeCell ref="A15:D15"/>
    <mergeCell ref="E15:O15"/>
    <mergeCell ref="R15:U15"/>
    <mergeCell ref="AA15:AE15"/>
    <mergeCell ref="R51:Y51"/>
    <mergeCell ref="B52:I52"/>
    <mergeCell ref="R52:Y52"/>
    <mergeCell ref="AD46:AD47"/>
    <mergeCell ref="AE46:AE47"/>
    <mergeCell ref="B48:I48"/>
    <mergeCell ref="R48:Y48"/>
    <mergeCell ref="B27:I27"/>
    <mergeCell ref="A6:AE6"/>
    <mergeCell ref="A4:AE4"/>
    <mergeCell ref="A3:AE3"/>
    <mergeCell ref="A2:AE2"/>
    <mergeCell ref="A59:B60"/>
    <mergeCell ref="Q59:R60"/>
    <mergeCell ref="A61:B61"/>
    <mergeCell ref="Q61:R61"/>
    <mergeCell ref="A62:B62"/>
    <mergeCell ref="Q62:R62"/>
    <mergeCell ref="B56:I56"/>
    <mergeCell ref="R56:Y56"/>
    <mergeCell ref="B57:I57"/>
    <mergeCell ref="R57:Y57"/>
    <mergeCell ref="B53:I53"/>
    <mergeCell ref="R53:Y53"/>
    <mergeCell ref="B54:I54"/>
    <mergeCell ref="R54:Y54"/>
    <mergeCell ref="B55:I55"/>
    <mergeCell ref="R55:Y55"/>
    <mergeCell ref="B50:I50"/>
    <mergeCell ref="R50:Y50"/>
    <mergeCell ref="B51:I51"/>
    <mergeCell ref="B49:I49"/>
    <mergeCell ref="A8:AE8"/>
    <mergeCell ref="Z46:AC46"/>
    <mergeCell ref="M43:O43"/>
    <mergeCell ref="R23:X23"/>
    <mergeCell ref="AC23:AE23"/>
    <mergeCell ref="A41:B41"/>
    <mergeCell ref="Q41:R41"/>
    <mergeCell ref="B25:I26"/>
    <mergeCell ref="R25:Y26"/>
    <mergeCell ref="AC22:AE22"/>
    <mergeCell ref="B11:F11"/>
    <mergeCell ref="AA10:AE10"/>
    <mergeCell ref="S11:AE11"/>
    <mergeCell ref="B10:O10"/>
    <mergeCell ref="G11:M11"/>
    <mergeCell ref="N11:O11"/>
    <mergeCell ref="B46:I47"/>
    <mergeCell ref="J46:M46"/>
    <mergeCell ref="N46:N47"/>
    <mergeCell ref="O46:O47"/>
    <mergeCell ref="J25:M25"/>
    <mergeCell ref="N25:N26"/>
    <mergeCell ref="O25:O26"/>
    <mergeCell ref="B28:I28"/>
    <mergeCell ref="D1:AE1"/>
    <mergeCell ref="A1:C1"/>
    <mergeCell ref="A13:AE13"/>
    <mergeCell ref="R35:Y35"/>
    <mergeCell ref="R36:Y36"/>
    <mergeCell ref="Q38:R39"/>
    <mergeCell ref="A20:AE20"/>
    <mergeCell ref="B23:H23"/>
    <mergeCell ref="M23:O23"/>
    <mergeCell ref="M22:O22"/>
    <mergeCell ref="AD25:AD26"/>
    <mergeCell ref="AE25:AE26"/>
    <mergeCell ref="R27:Y27"/>
    <mergeCell ref="R28:Y28"/>
    <mergeCell ref="R29:Y29"/>
    <mergeCell ref="R30:Y30"/>
    <mergeCell ref="B35:I35"/>
    <mergeCell ref="B36:I36"/>
    <mergeCell ref="A38:B39"/>
    <mergeCell ref="Z25:AC25"/>
    <mergeCell ref="R31:Y31"/>
    <mergeCell ref="R32:Y32"/>
    <mergeCell ref="R33:Y33"/>
    <mergeCell ref="R34:Y34"/>
    <mergeCell ref="N62:O62"/>
    <mergeCell ref="AD61:AE61"/>
    <mergeCell ref="AD62:AE62"/>
    <mergeCell ref="N38:O38"/>
    <mergeCell ref="N39:O39"/>
    <mergeCell ref="AD38:AE38"/>
    <mergeCell ref="AD39:AE39"/>
    <mergeCell ref="N59:O59"/>
    <mergeCell ref="N60:O60"/>
    <mergeCell ref="AD59:AE59"/>
    <mergeCell ref="AD60:AE60"/>
    <mergeCell ref="Q40:R40"/>
    <mergeCell ref="R49:Y49"/>
    <mergeCell ref="R46:Y47"/>
    <mergeCell ref="Q58:AC58"/>
    <mergeCell ref="AD41:AE41"/>
    <mergeCell ref="AD40:AE40"/>
    <mergeCell ref="N40:O40"/>
    <mergeCell ref="N41:O41"/>
    <mergeCell ref="N61:O61"/>
    <mergeCell ref="A40:B40"/>
    <mergeCell ref="B29:I29"/>
    <mergeCell ref="B30:I30"/>
    <mergeCell ref="B31:I31"/>
    <mergeCell ref="B32:I32"/>
    <mergeCell ref="B33:I33"/>
    <mergeCell ref="B34:I34"/>
    <mergeCell ref="A37:M37"/>
    <mergeCell ref="Q37:AC37"/>
    <mergeCell ref="A58:M58"/>
  </mergeCells>
  <phoneticPr fontId="4" type="noConversion"/>
  <pageMargins left="0.35" right="0.29527559055118113" top="0.29527559055118113" bottom="0.29527559055118113" header="0.31496062992125984" footer="0.31496062992125984"/>
  <pageSetup paperSize="9" scale="6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0</xdr:col>
                    <xdr:colOff>358140</xdr:colOff>
                    <xdr:row>12</xdr:row>
                    <xdr:rowOff>220980</xdr:rowOff>
                  </from>
                  <to>
                    <xdr:col>1</xdr:col>
                    <xdr:colOff>403860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5" name="Check Box 9">
              <controlPr defaultSize="0" autoFill="0" autoLine="0" autoPict="0">
                <anchor moveWithCells="1">
                  <from>
                    <xdr:col>4</xdr:col>
                    <xdr:colOff>22860</xdr:colOff>
                    <xdr:row>16</xdr:row>
                    <xdr:rowOff>30480</xdr:rowOff>
                  </from>
                  <to>
                    <xdr:col>7</xdr:col>
                    <xdr:colOff>15240</xdr:colOff>
                    <xdr:row>17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6" name="Check Box 11">
              <controlPr defaultSize="0" autoFill="0" autoLine="0" autoPict="0">
                <anchor moveWithCells="1">
                  <from>
                    <xdr:col>14</xdr:col>
                    <xdr:colOff>358140</xdr:colOff>
                    <xdr:row>16</xdr:row>
                    <xdr:rowOff>30480</xdr:rowOff>
                  </from>
                  <to>
                    <xdr:col>16</xdr:col>
                    <xdr:colOff>259080</xdr:colOff>
                    <xdr:row>17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Marion Marinas</dc:creator>
  <cp:lastModifiedBy>Kino Hill</cp:lastModifiedBy>
  <cp:lastPrinted>2025-08-27T08:43:52Z</cp:lastPrinted>
  <dcterms:created xsi:type="dcterms:W3CDTF">2025-08-08T21:08:53Z</dcterms:created>
  <dcterms:modified xsi:type="dcterms:W3CDTF">2025-11-20T04:55:56Z</dcterms:modified>
</cp:coreProperties>
</file>