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xammpp\htdocs\capstone 1 v8\capstone-fresh\storage\app\templates\"/>
    </mc:Choice>
  </mc:AlternateContent>
  <xr:revisionPtr revIDLastSave="0" documentId="13_ncr:1_{9F9BAA14-5695-4ABB-A491-8BC8AB63254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G14" i="1"/>
  <c r="B14" i="1"/>
  <c r="D35" i="1"/>
  <c r="C35" i="1"/>
  <c r="B35" i="1"/>
  <c r="LK34" i="1"/>
  <c r="LC34" i="1"/>
  <c r="KT34" i="1"/>
  <c r="KL34" i="1"/>
  <c r="KD34" i="1"/>
  <c r="JV34" i="1"/>
  <c r="JM34" i="1"/>
  <c r="JE34" i="1"/>
  <c r="IW34" i="1"/>
  <c r="IO34" i="1"/>
  <c r="IF34" i="1"/>
  <c r="HX34" i="1"/>
  <c r="HP34" i="1"/>
  <c r="HH34" i="1"/>
  <c r="GY34" i="1"/>
  <c r="GQ34" i="1"/>
  <c r="GI34" i="1"/>
  <c r="GA34" i="1"/>
  <c r="FR34" i="1"/>
  <c r="FJ34" i="1"/>
  <c r="FB34" i="1"/>
  <c r="ET34" i="1"/>
  <c r="EK34" i="1"/>
  <c r="EC34" i="1"/>
  <c r="DU34" i="1"/>
  <c r="DM34" i="1"/>
  <c r="DD34" i="1"/>
  <c r="CV34" i="1"/>
  <c r="CN34" i="1"/>
  <c r="CF34" i="1"/>
  <c r="BW34" i="1"/>
  <c r="BO34" i="1"/>
  <c r="BG34" i="1"/>
  <c r="AY34" i="1"/>
  <c r="AP34" i="1"/>
  <c r="AH34" i="1"/>
  <c r="Z34" i="1"/>
  <c r="R34" i="1"/>
  <c r="I34" i="1"/>
  <c r="A34" i="1"/>
  <c r="LE33" i="1"/>
  <c r="KN33" i="1"/>
  <c r="JX33" i="1"/>
  <c r="JG33" i="1"/>
  <c r="IQ33" i="1"/>
  <c r="HZ33" i="1"/>
  <c r="HJ33" i="1"/>
  <c r="GS33" i="1"/>
  <c r="GC33" i="1"/>
  <c r="FL33" i="1"/>
  <c r="EV33" i="1"/>
  <c r="EE33" i="1"/>
  <c r="DO33" i="1"/>
  <c r="CX33" i="1"/>
  <c r="CH33" i="1"/>
  <c r="BQ33" i="1"/>
  <c r="BA33" i="1"/>
  <c r="AJ33" i="1"/>
  <c r="T33" i="1"/>
  <c r="C33" i="1"/>
  <c r="LF32" i="1"/>
  <c r="KO32" i="1"/>
  <c r="JY32" i="1"/>
  <c r="JH32" i="1"/>
  <c r="IR32" i="1"/>
  <c r="IA32" i="1"/>
  <c r="HK32" i="1"/>
  <c r="GT32" i="1"/>
  <c r="GD32" i="1"/>
  <c r="FM32" i="1"/>
  <c r="EW32" i="1"/>
  <c r="EF32" i="1"/>
  <c r="DP32" i="1"/>
  <c r="CY32" i="1"/>
  <c r="CI32" i="1"/>
  <c r="BR32" i="1"/>
  <c r="BB32" i="1"/>
  <c r="AK32" i="1"/>
  <c r="U32" i="1"/>
  <c r="D32" i="1"/>
  <c r="LG31" i="1"/>
  <c r="KP31" i="1"/>
  <c r="JZ31" i="1"/>
  <c r="JI31" i="1"/>
  <c r="IS31" i="1"/>
  <c r="IB31" i="1"/>
  <c r="HL31" i="1"/>
  <c r="GU31" i="1"/>
  <c r="GE31" i="1"/>
  <c r="FN31" i="1"/>
  <c r="EX31" i="1"/>
  <c r="EG31" i="1"/>
  <c r="DQ31" i="1"/>
  <c r="CZ31" i="1"/>
  <c r="CJ31" i="1"/>
  <c r="BS31" i="1"/>
  <c r="BC31" i="1"/>
  <c r="AL31" i="1"/>
  <c r="V31" i="1"/>
  <c r="E31" i="1"/>
  <c r="LJ30" i="1"/>
  <c r="KS30" i="1"/>
  <c r="KC30" i="1"/>
  <c r="JL30" i="1"/>
  <c r="IV30" i="1"/>
  <c r="IE30" i="1"/>
  <c r="HO30" i="1"/>
  <c r="GX30" i="1"/>
  <c r="GH30" i="1"/>
  <c r="FQ30" i="1"/>
  <c r="FA30" i="1"/>
  <c r="EJ30" i="1"/>
  <c r="DT30" i="1"/>
  <c r="DC30" i="1"/>
  <c r="CM30" i="1"/>
  <c r="BV30" i="1"/>
  <c r="BF30" i="1"/>
  <c r="AO30" i="1"/>
  <c r="Y30" i="1"/>
  <c r="H30" i="1"/>
  <c r="LP29" i="1"/>
  <c r="LO29" i="1"/>
  <c r="LN29" i="1"/>
  <c r="LM29" i="1"/>
  <c r="LL29" i="1"/>
  <c r="LK29" i="1"/>
  <c r="LJ29" i="1"/>
  <c r="LI29" i="1"/>
  <c r="LH29" i="1"/>
  <c r="LG29" i="1"/>
  <c r="LF29" i="1"/>
  <c r="LE29" i="1"/>
  <c r="KY29" i="1"/>
  <c r="KX29" i="1"/>
  <c r="KW29" i="1"/>
  <c r="KV29" i="1"/>
  <c r="KU29" i="1"/>
  <c r="KT29" i="1"/>
  <c r="KS29" i="1"/>
  <c r="KR29" i="1"/>
  <c r="KQ29" i="1"/>
  <c r="KP29" i="1"/>
  <c r="KO29" i="1"/>
  <c r="KN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D29" i="1"/>
  <c r="HC29" i="1"/>
  <c r="HB29" i="1"/>
  <c r="HA29" i="1"/>
  <c r="GZ29" i="1"/>
  <c r="GY29" i="1"/>
  <c r="GX29" i="1"/>
  <c r="GW29" i="1"/>
  <c r="GV29" i="1"/>
  <c r="GU29" i="1"/>
  <c r="GT29" i="1"/>
  <c r="GS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S29" i="1"/>
  <c r="CR29" i="1"/>
  <c r="CQ29" i="1"/>
  <c r="CP29" i="1"/>
  <c r="CO29" i="1"/>
  <c r="CN29" i="1"/>
  <c r="CM29" i="1"/>
  <c r="CL29" i="1"/>
  <c r="CK29" i="1"/>
  <c r="CJ29" i="1"/>
  <c r="CI29" i="1"/>
  <c r="CH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E29" i="1"/>
  <c r="AD29" i="1"/>
  <c r="AC29" i="1"/>
  <c r="AB29" i="1"/>
  <c r="AA29" i="1"/>
  <c r="Z29" i="1"/>
  <c r="Y29" i="1"/>
  <c r="X29" i="1"/>
  <c r="W29" i="1"/>
  <c r="V29" i="1"/>
  <c r="U29" i="1"/>
  <c r="T29" i="1"/>
  <c r="N29" i="1"/>
  <c r="M29" i="1"/>
  <c r="L29" i="1"/>
  <c r="K29" i="1"/>
  <c r="J29" i="1"/>
  <c r="I29" i="1"/>
  <c r="H29" i="1"/>
  <c r="G29" i="1"/>
  <c r="F29" i="1"/>
  <c r="E29" i="1"/>
  <c r="D29" i="1"/>
  <c r="C29" i="1"/>
  <c r="LP28" i="1"/>
  <c r="LO28" i="1"/>
  <c r="LN28" i="1"/>
  <c r="LM28" i="1"/>
  <c r="LL28" i="1"/>
  <c r="LK28" i="1"/>
  <c r="LJ28" i="1"/>
  <c r="LI28" i="1"/>
  <c r="LH28" i="1"/>
  <c r="LG28" i="1"/>
  <c r="LF28" i="1"/>
  <c r="LE28" i="1"/>
  <c r="KY28" i="1"/>
  <c r="KX28" i="1"/>
  <c r="KW28" i="1"/>
  <c r="KV28" i="1"/>
  <c r="KU28" i="1"/>
  <c r="KT28" i="1"/>
  <c r="KS28" i="1"/>
  <c r="KR28" i="1"/>
  <c r="KQ28" i="1"/>
  <c r="KP28" i="1"/>
  <c r="KO28" i="1"/>
  <c r="KN28" i="1"/>
  <c r="KI28" i="1"/>
  <c r="KH28" i="1"/>
  <c r="KG28" i="1"/>
  <c r="KF28" i="1"/>
  <c r="KE28" i="1"/>
  <c r="KD28" i="1"/>
  <c r="KC28" i="1"/>
  <c r="KB28" i="1"/>
  <c r="KA28" i="1"/>
  <c r="JZ28" i="1"/>
  <c r="JY28" i="1"/>
  <c r="JX28" i="1"/>
  <c r="JR28" i="1"/>
  <c r="JQ28" i="1"/>
  <c r="JP28" i="1"/>
  <c r="JO28" i="1"/>
  <c r="JN28" i="1"/>
  <c r="JM28" i="1"/>
  <c r="JL28" i="1"/>
  <c r="JK28" i="1"/>
  <c r="JJ28" i="1"/>
  <c r="JI28" i="1"/>
  <c r="JH28" i="1"/>
  <c r="JG28" i="1"/>
  <c r="JB28" i="1"/>
  <c r="JA28" i="1"/>
  <c r="IZ28" i="1"/>
  <c r="IY28" i="1"/>
  <c r="IX28" i="1"/>
  <c r="IW28" i="1"/>
  <c r="IV28" i="1"/>
  <c r="IU28" i="1"/>
  <c r="IT28" i="1"/>
  <c r="IS28" i="1"/>
  <c r="IR28" i="1"/>
  <c r="IQ28" i="1"/>
  <c r="IK28" i="1"/>
  <c r="IJ28" i="1"/>
  <c r="II28" i="1"/>
  <c r="IH28" i="1"/>
  <c r="IG28" i="1"/>
  <c r="IF28" i="1"/>
  <c r="IE28" i="1"/>
  <c r="ID28" i="1"/>
  <c r="IC28" i="1"/>
  <c r="IB28" i="1"/>
  <c r="IA28" i="1"/>
  <c r="HZ28" i="1"/>
  <c r="HU28" i="1"/>
  <c r="HT28" i="1"/>
  <c r="HS28" i="1"/>
  <c r="HR28" i="1"/>
  <c r="HQ28" i="1"/>
  <c r="HP28" i="1"/>
  <c r="HO28" i="1"/>
  <c r="HN28" i="1"/>
  <c r="HM28" i="1"/>
  <c r="HL28" i="1"/>
  <c r="HK28" i="1"/>
  <c r="HJ28" i="1"/>
  <c r="HD28" i="1"/>
  <c r="HC28" i="1"/>
  <c r="HB28" i="1"/>
  <c r="HA28" i="1"/>
  <c r="GZ28" i="1"/>
  <c r="GY28" i="1"/>
  <c r="GX28" i="1"/>
  <c r="GW28" i="1"/>
  <c r="GV28" i="1"/>
  <c r="GU28" i="1"/>
  <c r="GT28" i="1"/>
  <c r="GS28" i="1"/>
  <c r="GN28" i="1"/>
  <c r="GM28" i="1"/>
  <c r="GL28" i="1"/>
  <c r="GK28" i="1"/>
  <c r="GJ28" i="1"/>
  <c r="GI28" i="1"/>
  <c r="GH28" i="1"/>
  <c r="GG28" i="1"/>
  <c r="GF28" i="1"/>
  <c r="GE28" i="1"/>
  <c r="GD28" i="1"/>
  <c r="GC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P28" i="1"/>
  <c r="EO28" i="1"/>
  <c r="EN28" i="1"/>
  <c r="EM28" i="1"/>
  <c r="EL28" i="1"/>
  <c r="EK28" i="1"/>
  <c r="EJ28" i="1"/>
  <c r="EI28" i="1"/>
  <c r="EH28" i="1"/>
  <c r="EG28" i="1"/>
  <c r="EF28" i="1"/>
  <c r="EE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I28" i="1"/>
  <c r="DH28" i="1"/>
  <c r="DG28" i="1"/>
  <c r="DF28" i="1"/>
  <c r="DE28" i="1"/>
  <c r="DD28" i="1"/>
  <c r="DC28" i="1"/>
  <c r="DB28" i="1"/>
  <c r="DA28" i="1"/>
  <c r="CZ28" i="1"/>
  <c r="CY28" i="1"/>
  <c r="CX28" i="1"/>
  <c r="CS28" i="1"/>
  <c r="CR28" i="1"/>
  <c r="CQ28" i="1"/>
  <c r="CP28" i="1"/>
  <c r="CO28" i="1"/>
  <c r="CN28" i="1"/>
  <c r="CM28" i="1"/>
  <c r="CL28" i="1"/>
  <c r="CK28" i="1"/>
  <c r="CJ28" i="1"/>
  <c r="CI28" i="1"/>
  <c r="CH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E28" i="1"/>
  <c r="AD28" i="1"/>
  <c r="AC28" i="1"/>
  <c r="AB28" i="1"/>
  <c r="AA28" i="1"/>
  <c r="Z28" i="1"/>
  <c r="Y28" i="1"/>
  <c r="X28" i="1"/>
  <c r="W28" i="1"/>
  <c r="V28" i="1"/>
  <c r="U28" i="1"/>
  <c r="T28" i="1"/>
  <c r="N28" i="1"/>
  <c r="M28" i="1"/>
  <c r="L28" i="1"/>
  <c r="K28" i="1"/>
  <c r="J28" i="1"/>
  <c r="I28" i="1"/>
  <c r="H28" i="1"/>
  <c r="G28" i="1"/>
  <c r="F28" i="1"/>
  <c r="E28" i="1"/>
  <c r="D28" i="1"/>
  <c r="C28" i="1"/>
  <c r="LP27" i="1"/>
  <c r="LO27" i="1"/>
  <c r="LN27" i="1"/>
  <c r="LM27" i="1"/>
  <c r="LL27" i="1"/>
  <c r="LK27" i="1"/>
  <c r="LJ27" i="1"/>
  <c r="LI27" i="1"/>
  <c r="LH27" i="1"/>
  <c r="LG27" i="1"/>
  <c r="LF27" i="1"/>
  <c r="LE27" i="1"/>
  <c r="KY27" i="1"/>
  <c r="KX27" i="1"/>
  <c r="KW27" i="1"/>
  <c r="KV27" i="1"/>
  <c r="KU27" i="1"/>
  <c r="KT27" i="1"/>
  <c r="KS27" i="1"/>
  <c r="KR27" i="1"/>
  <c r="KQ27" i="1"/>
  <c r="KP27" i="1"/>
  <c r="KO27" i="1"/>
  <c r="KN27" i="1"/>
  <c r="KI27" i="1"/>
  <c r="KH27" i="1"/>
  <c r="KG27" i="1"/>
  <c r="KF27" i="1"/>
  <c r="KE27" i="1"/>
  <c r="KD27" i="1"/>
  <c r="KC27" i="1"/>
  <c r="KB27" i="1"/>
  <c r="KA27" i="1"/>
  <c r="JZ27" i="1"/>
  <c r="JY27" i="1"/>
  <c r="JX27" i="1"/>
  <c r="JR27" i="1"/>
  <c r="JQ27" i="1"/>
  <c r="JP27" i="1"/>
  <c r="JO27" i="1"/>
  <c r="JN27" i="1"/>
  <c r="JM27" i="1"/>
  <c r="JL27" i="1"/>
  <c r="JK27" i="1"/>
  <c r="JJ27" i="1"/>
  <c r="JI27" i="1"/>
  <c r="JH27" i="1"/>
  <c r="JG27" i="1"/>
  <c r="JB27" i="1"/>
  <c r="JA27" i="1"/>
  <c r="IZ27" i="1"/>
  <c r="IY27" i="1"/>
  <c r="IX27" i="1"/>
  <c r="IW27" i="1"/>
  <c r="IV27" i="1"/>
  <c r="IU27" i="1"/>
  <c r="IT27" i="1"/>
  <c r="IS27" i="1"/>
  <c r="IR27" i="1"/>
  <c r="IQ27" i="1"/>
  <c r="IK27" i="1"/>
  <c r="IJ27" i="1"/>
  <c r="II27" i="1"/>
  <c r="IH27" i="1"/>
  <c r="IG27" i="1"/>
  <c r="IF27" i="1"/>
  <c r="IE27" i="1"/>
  <c r="ID27" i="1"/>
  <c r="IC27" i="1"/>
  <c r="IB27" i="1"/>
  <c r="IA27" i="1"/>
  <c r="HZ27" i="1"/>
  <c r="HU27" i="1"/>
  <c r="HT27" i="1"/>
  <c r="HS27" i="1"/>
  <c r="HR27" i="1"/>
  <c r="HQ27" i="1"/>
  <c r="HP27" i="1"/>
  <c r="HO27" i="1"/>
  <c r="HN27" i="1"/>
  <c r="HM27" i="1"/>
  <c r="HL27" i="1"/>
  <c r="HK27" i="1"/>
  <c r="HJ27" i="1"/>
  <c r="HD27" i="1"/>
  <c r="HC27" i="1"/>
  <c r="HB27" i="1"/>
  <c r="HA27" i="1"/>
  <c r="GZ27" i="1"/>
  <c r="GY27" i="1"/>
  <c r="GX27" i="1"/>
  <c r="GW27" i="1"/>
  <c r="GV27" i="1"/>
  <c r="GU27" i="1"/>
  <c r="GT27" i="1"/>
  <c r="GS27" i="1"/>
  <c r="GN27" i="1"/>
  <c r="GM27" i="1"/>
  <c r="GL27" i="1"/>
  <c r="GK27" i="1"/>
  <c r="GJ27" i="1"/>
  <c r="GI27" i="1"/>
  <c r="GH27" i="1"/>
  <c r="GG27" i="1"/>
  <c r="GF27" i="1"/>
  <c r="GE27" i="1"/>
  <c r="GD27" i="1"/>
  <c r="GC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P27" i="1"/>
  <c r="EO27" i="1"/>
  <c r="EN27" i="1"/>
  <c r="EM27" i="1"/>
  <c r="EL27" i="1"/>
  <c r="EK27" i="1"/>
  <c r="EJ27" i="1"/>
  <c r="EI27" i="1"/>
  <c r="EH27" i="1"/>
  <c r="EG27" i="1"/>
  <c r="EF27" i="1"/>
  <c r="EE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I27" i="1"/>
  <c r="DH27" i="1"/>
  <c r="DG27" i="1"/>
  <c r="DF27" i="1"/>
  <c r="DE27" i="1"/>
  <c r="DD27" i="1"/>
  <c r="DC27" i="1"/>
  <c r="DB27" i="1"/>
  <c r="DA27" i="1"/>
  <c r="CZ27" i="1"/>
  <c r="CY27" i="1"/>
  <c r="CX27" i="1"/>
  <c r="CS27" i="1"/>
  <c r="CR27" i="1"/>
  <c r="CQ27" i="1"/>
  <c r="CP27" i="1"/>
  <c r="CO27" i="1"/>
  <c r="CN27" i="1"/>
  <c r="CM27" i="1"/>
  <c r="CL27" i="1"/>
  <c r="CK27" i="1"/>
  <c r="CJ27" i="1"/>
  <c r="CI27" i="1"/>
  <c r="CH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E27" i="1"/>
  <c r="AD27" i="1"/>
  <c r="AC27" i="1"/>
  <c r="AB27" i="1"/>
  <c r="AA27" i="1"/>
  <c r="Z27" i="1"/>
  <c r="Y27" i="1"/>
  <c r="X27" i="1"/>
  <c r="W27" i="1"/>
  <c r="V27" i="1"/>
  <c r="U27" i="1"/>
  <c r="T27" i="1"/>
  <c r="N27" i="1"/>
  <c r="M27" i="1"/>
  <c r="L27" i="1"/>
  <c r="K27" i="1"/>
  <c r="J27" i="1"/>
  <c r="I27" i="1"/>
  <c r="H27" i="1"/>
  <c r="G27" i="1"/>
  <c r="E27" i="1"/>
  <c r="D27" i="1"/>
  <c r="C27" i="1"/>
  <c r="LP26" i="1"/>
  <c r="LO26" i="1"/>
  <c r="LN26" i="1"/>
  <c r="LM26" i="1"/>
  <c r="LL26" i="1"/>
  <c r="LK26" i="1"/>
  <c r="LJ26" i="1"/>
  <c r="LI26" i="1"/>
  <c r="LH26" i="1"/>
  <c r="LG26" i="1"/>
  <c r="LF26" i="1"/>
  <c r="LE26" i="1"/>
  <c r="KY26" i="1"/>
  <c r="KX26" i="1"/>
  <c r="KW26" i="1"/>
  <c r="KV26" i="1"/>
  <c r="KU26" i="1"/>
  <c r="KT26" i="1"/>
  <c r="KS26" i="1"/>
  <c r="KR26" i="1"/>
  <c r="KQ26" i="1"/>
  <c r="KP26" i="1"/>
  <c r="KO26" i="1"/>
  <c r="KN26" i="1"/>
  <c r="KI26" i="1"/>
  <c r="KH26" i="1"/>
  <c r="KG26" i="1"/>
  <c r="KF26" i="1"/>
  <c r="KE26" i="1"/>
  <c r="KD26" i="1"/>
  <c r="KC26" i="1"/>
  <c r="KB26" i="1"/>
  <c r="KA26" i="1"/>
  <c r="JZ26" i="1"/>
  <c r="JY26" i="1"/>
  <c r="JX26" i="1"/>
  <c r="JR26" i="1"/>
  <c r="JQ26" i="1"/>
  <c r="JP26" i="1"/>
  <c r="JO26" i="1"/>
  <c r="JN26" i="1"/>
  <c r="JM26" i="1"/>
  <c r="JL26" i="1"/>
  <c r="JK26" i="1"/>
  <c r="JJ26" i="1"/>
  <c r="JI26" i="1"/>
  <c r="JH26" i="1"/>
  <c r="JG26" i="1"/>
  <c r="JB26" i="1"/>
  <c r="JA26" i="1"/>
  <c r="IZ26" i="1"/>
  <c r="IY26" i="1"/>
  <c r="IX26" i="1"/>
  <c r="IW26" i="1"/>
  <c r="IV26" i="1"/>
  <c r="IU26" i="1"/>
  <c r="IT26" i="1"/>
  <c r="IS26" i="1"/>
  <c r="IR26" i="1"/>
  <c r="IQ26" i="1"/>
  <c r="IK26" i="1"/>
  <c r="IJ26" i="1"/>
  <c r="II26" i="1"/>
  <c r="IH26" i="1"/>
  <c r="IG26" i="1"/>
  <c r="IF26" i="1"/>
  <c r="IE26" i="1"/>
  <c r="ID26" i="1"/>
  <c r="IC26" i="1"/>
  <c r="IB26" i="1"/>
  <c r="IA26" i="1"/>
  <c r="HZ26" i="1"/>
  <c r="HU26" i="1"/>
  <c r="HT26" i="1"/>
  <c r="HS26" i="1"/>
  <c r="HR26" i="1"/>
  <c r="HQ26" i="1"/>
  <c r="HP26" i="1"/>
  <c r="HO26" i="1"/>
  <c r="HN26" i="1"/>
  <c r="HM26" i="1"/>
  <c r="HL26" i="1"/>
  <c r="HK26" i="1"/>
  <c r="HJ26" i="1"/>
  <c r="HD26" i="1"/>
  <c r="HC26" i="1"/>
  <c r="HB26" i="1"/>
  <c r="HA26" i="1"/>
  <c r="GZ26" i="1"/>
  <c r="GY26" i="1"/>
  <c r="GX26" i="1"/>
  <c r="GW26" i="1"/>
  <c r="GV26" i="1"/>
  <c r="GU26" i="1"/>
  <c r="GT26" i="1"/>
  <c r="GS26" i="1"/>
  <c r="GN26" i="1"/>
  <c r="GM26" i="1"/>
  <c r="GL26" i="1"/>
  <c r="GK26" i="1"/>
  <c r="GJ26" i="1"/>
  <c r="GI26" i="1"/>
  <c r="GH26" i="1"/>
  <c r="GG26" i="1"/>
  <c r="GF26" i="1"/>
  <c r="GE26" i="1"/>
  <c r="GD26" i="1"/>
  <c r="GC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P26" i="1"/>
  <c r="EO26" i="1"/>
  <c r="EN26" i="1"/>
  <c r="EM26" i="1"/>
  <c r="EL26" i="1"/>
  <c r="EK26" i="1"/>
  <c r="EJ26" i="1"/>
  <c r="EI26" i="1"/>
  <c r="EH26" i="1"/>
  <c r="EG26" i="1"/>
  <c r="EF26" i="1"/>
  <c r="EE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I26" i="1"/>
  <c r="DH26" i="1"/>
  <c r="DG26" i="1"/>
  <c r="DF26" i="1"/>
  <c r="DE26" i="1"/>
  <c r="DD26" i="1"/>
  <c r="DC26" i="1"/>
  <c r="DB26" i="1"/>
  <c r="DA26" i="1"/>
  <c r="CZ26" i="1"/>
  <c r="CY26" i="1"/>
  <c r="CX26" i="1"/>
  <c r="CS26" i="1"/>
  <c r="CR26" i="1"/>
  <c r="CQ26" i="1"/>
  <c r="CP26" i="1"/>
  <c r="CO26" i="1"/>
  <c r="CN26" i="1"/>
  <c r="CM26" i="1"/>
  <c r="CL26" i="1"/>
  <c r="CK26" i="1"/>
  <c r="CJ26" i="1"/>
  <c r="CI26" i="1"/>
  <c r="CH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E26" i="1"/>
  <c r="AD26" i="1"/>
  <c r="AC26" i="1"/>
  <c r="AB26" i="1"/>
  <c r="AA26" i="1"/>
  <c r="Z26" i="1"/>
  <c r="Y26" i="1"/>
  <c r="X26" i="1"/>
  <c r="W26" i="1"/>
  <c r="V26" i="1"/>
  <c r="U26" i="1"/>
  <c r="T26" i="1"/>
  <c r="N26" i="1"/>
  <c r="M26" i="1"/>
  <c r="L26" i="1"/>
  <c r="K26" i="1"/>
  <c r="J26" i="1"/>
  <c r="I26" i="1"/>
  <c r="H26" i="1"/>
  <c r="G26" i="1"/>
  <c r="F26" i="1"/>
  <c r="E26" i="1"/>
  <c r="G35" i="1" s="1"/>
  <c r="D26" i="1"/>
  <c r="F35" i="1" s="1"/>
  <c r="C26" i="1"/>
  <c r="E35" i="1" s="1"/>
  <c r="LN23" i="1"/>
  <c r="LD23" i="1"/>
  <c r="KM23" i="1"/>
  <c r="KG23" i="1"/>
  <c r="JW23" i="1"/>
  <c r="JP23" i="1"/>
  <c r="JF23" i="1"/>
  <c r="IZ23" i="1"/>
  <c r="IP23" i="1"/>
  <c r="II23" i="1"/>
  <c r="HY23" i="1"/>
  <c r="HS23" i="1"/>
  <c r="HI23" i="1"/>
  <c r="HB23" i="1"/>
  <c r="GR23" i="1"/>
  <c r="GL23" i="1"/>
  <c r="GB23" i="1"/>
  <c r="FU23" i="1"/>
  <c r="FK23" i="1"/>
  <c r="FE23" i="1"/>
  <c r="EU23" i="1"/>
  <c r="EN23" i="1"/>
  <c r="ED23" i="1"/>
  <c r="DX23" i="1"/>
  <c r="DN23" i="1"/>
  <c r="DG23" i="1"/>
  <c r="CW23" i="1"/>
  <c r="CQ23" i="1"/>
  <c r="CG23" i="1"/>
  <c r="BZ23" i="1"/>
  <c r="BP23" i="1"/>
  <c r="BJ23" i="1"/>
  <c r="AZ23" i="1"/>
  <c r="AS23" i="1"/>
  <c r="AI23" i="1"/>
  <c r="AC23" i="1"/>
  <c r="S23" i="1"/>
  <c r="L23" i="1"/>
  <c r="B23" i="1"/>
  <c r="LN22" i="1"/>
  <c r="LD22" i="1"/>
  <c r="KM22" i="1"/>
  <c r="KG22" i="1"/>
  <c r="JW22" i="1"/>
  <c r="JP22" i="1"/>
  <c r="JF22" i="1"/>
  <c r="IZ22" i="1"/>
  <c r="IP22" i="1"/>
  <c r="II22" i="1"/>
  <c r="HY22" i="1"/>
  <c r="HS22" i="1"/>
  <c r="HI22" i="1"/>
  <c r="HB22" i="1"/>
  <c r="GR22" i="1"/>
  <c r="GL22" i="1"/>
  <c r="GB22" i="1"/>
  <c r="FU22" i="1"/>
  <c r="FK22" i="1"/>
  <c r="FE22" i="1"/>
  <c r="EU22" i="1"/>
  <c r="EN22" i="1"/>
  <c r="ED22" i="1"/>
  <c r="DX22" i="1"/>
  <c r="DN22" i="1"/>
  <c r="DG22" i="1"/>
  <c r="CW22" i="1"/>
  <c r="CQ22" i="1"/>
  <c r="CG22" i="1"/>
  <c r="BZ22" i="1"/>
  <c r="BP22" i="1"/>
  <c r="BJ22" i="1"/>
  <c r="AZ22" i="1"/>
  <c r="AS22" i="1"/>
  <c r="AI22" i="1"/>
  <c r="AC22" i="1"/>
  <c r="S22" i="1"/>
  <c r="L22" i="1"/>
  <c r="B22" i="1"/>
  <c r="LN21" i="1"/>
  <c r="LD21" i="1"/>
  <c r="KM21" i="1"/>
  <c r="KG21" i="1"/>
  <c r="JW21" i="1"/>
  <c r="JP21" i="1"/>
  <c r="JF21" i="1"/>
  <c r="IZ21" i="1"/>
  <c r="IP21" i="1"/>
  <c r="II21" i="1"/>
  <c r="HY21" i="1"/>
  <c r="HS21" i="1"/>
  <c r="HI21" i="1"/>
  <c r="HB21" i="1"/>
  <c r="GR21" i="1"/>
  <c r="GL21" i="1"/>
  <c r="GB21" i="1"/>
  <c r="FU21" i="1"/>
  <c r="FK21" i="1"/>
  <c r="FE21" i="1"/>
  <c r="EU21" i="1"/>
  <c r="EN21" i="1"/>
  <c r="ED21" i="1"/>
  <c r="DX21" i="1"/>
  <c r="DN21" i="1"/>
  <c r="DG21" i="1"/>
  <c r="CW21" i="1"/>
  <c r="CQ21" i="1"/>
  <c r="CG21" i="1"/>
  <c r="BZ21" i="1"/>
  <c r="BP21" i="1"/>
  <c r="BJ21" i="1"/>
  <c r="AZ21" i="1"/>
  <c r="AS21" i="1"/>
  <c r="AI21" i="1"/>
  <c r="AC21" i="1"/>
  <c r="S21" i="1"/>
  <c r="L21" i="1"/>
  <c r="B21" i="1"/>
  <c r="LN20" i="1"/>
  <c r="LD20" i="1"/>
  <c r="KM20" i="1"/>
  <c r="KG20" i="1"/>
  <c r="JW20" i="1"/>
  <c r="JP20" i="1"/>
  <c r="JF20" i="1"/>
  <c r="IZ20" i="1"/>
  <c r="IP20" i="1"/>
  <c r="II20" i="1"/>
  <c r="HY20" i="1"/>
  <c r="HS20" i="1"/>
  <c r="HI20" i="1"/>
  <c r="HB20" i="1"/>
  <c r="GR20" i="1"/>
  <c r="GL20" i="1"/>
  <c r="GB20" i="1"/>
  <c r="FU20" i="1"/>
  <c r="FK20" i="1"/>
  <c r="FE20" i="1"/>
  <c r="EU20" i="1"/>
  <c r="EN20" i="1"/>
  <c r="ED20" i="1"/>
  <c r="DX20" i="1"/>
  <c r="DN20" i="1"/>
  <c r="DG20" i="1"/>
  <c r="CW20" i="1"/>
  <c r="CQ20" i="1"/>
  <c r="CG20" i="1"/>
  <c r="BZ20" i="1"/>
  <c r="BP20" i="1"/>
  <c r="BJ20" i="1"/>
  <c r="AZ20" i="1"/>
  <c r="AS20" i="1"/>
  <c r="AI20" i="1"/>
  <c r="AC20" i="1"/>
  <c r="S20" i="1"/>
  <c r="B20" i="1"/>
  <c r="LN19" i="1"/>
  <c r="LD19" i="1"/>
  <c r="KM19" i="1"/>
  <c r="KG19" i="1"/>
  <c r="JW19" i="1"/>
  <c r="JP19" i="1"/>
  <c r="JF19" i="1"/>
  <c r="IZ19" i="1"/>
  <c r="IP19" i="1"/>
  <c r="II19" i="1"/>
  <c r="HY19" i="1"/>
  <c r="HS19" i="1"/>
  <c r="HI19" i="1"/>
  <c r="HB19" i="1"/>
  <c r="GR19" i="1"/>
  <c r="GL19" i="1"/>
  <c r="GB19" i="1"/>
  <c r="FU19" i="1"/>
  <c r="FK19" i="1"/>
  <c r="FE19" i="1"/>
  <c r="EU19" i="1"/>
  <c r="EN19" i="1"/>
  <c r="ED19" i="1"/>
  <c r="DX19" i="1"/>
  <c r="DN19" i="1"/>
  <c r="DG19" i="1"/>
  <c r="CW19" i="1"/>
  <c r="CQ19" i="1"/>
  <c r="CG19" i="1"/>
  <c r="BZ19" i="1"/>
  <c r="BP19" i="1"/>
  <c r="BJ19" i="1"/>
  <c r="AZ19" i="1"/>
  <c r="AS19" i="1"/>
  <c r="AI19" i="1"/>
  <c r="AC19" i="1"/>
  <c r="S19" i="1"/>
  <c r="B19" i="1"/>
  <c r="LN18" i="1"/>
  <c r="LD18" i="1"/>
  <c r="KM18" i="1"/>
  <c r="KG18" i="1"/>
  <c r="JW18" i="1"/>
  <c r="JP18" i="1"/>
  <c r="JF18" i="1"/>
  <c r="IZ18" i="1"/>
  <c r="IP18" i="1"/>
  <c r="II18" i="1"/>
  <c r="HY18" i="1"/>
  <c r="HS18" i="1"/>
  <c r="HI18" i="1"/>
  <c r="HB18" i="1"/>
  <c r="GR18" i="1"/>
  <c r="GL18" i="1"/>
  <c r="GB18" i="1"/>
  <c r="FU18" i="1"/>
  <c r="FK18" i="1"/>
  <c r="FE18" i="1"/>
  <c r="EU18" i="1"/>
  <c r="EN18" i="1"/>
  <c r="ED18" i="1"/>
  <c r="DX18" i="1"/>
  <c r="DN18" i="1"/>
  <c r="DG18" i="1"/>
  <c r="CW18" i="1"/>
  <c r="CQ18" i="1"/>
  <c r="CG18" i="1"/>
  <c r="BZ18" i="1"/>
  <c r="BP18" i="1"/>
  <c r="BJ18" i="1"/>
  <c r="AZ18" i="1"/>
  <c r="AS18" i="1"/>
  <c r="AI18" i="1"/>
  <c r="AC18" i="1"/>
  <c r="S18" i="1"/>
  <c r="B18" i="1"/>
  <c r="LN17" i="1"/>
  <c r="LD17" i="1"/>
  <c r="KM17" i="1"/>
  <c r="KG17" i="1"/>
  <c r="JW17" i="1"/>
  <c r="JP17" i="1"/>
  <c r="JF17" i="1"/>
  <c r="IZ17" i="1"/>
  <c r="IP17" i="1"/>
  <c r="II17" i="1"/>
  <c r="HY17" i="1"/>
  <c r="HS17" i="1"/>
  <c r="HI17" i="1"/>
  <c r="HB17" i="1"/>
  <c r="GR17" i="1"/>
  <c r="GL17" i="1"/>
  <c r="GB17" i="1"/>
  <c r="FU17" i="1"/>
  <c r="FK17" i="1"/>
  <c r="FE17" i="1"/>
  <c r="EU17" i="1"/>
  <c r="EN17" i="1"/>
  <c r="ED17" i="1"/>
  <c r="DX17" i="1"/>
  <c r="DN17" i="1"/>
  <c r="DG17" i="1"/>
  <c r="CW17" i="1"/>
  <c r="CQ17" i="1"/>
  <c r="CG17" i="1"/>
  <c r="BZ17" i="1"/>
  <c r="BP17" i="1"/>
  <c r="BJ17" i="1"/>
  <c r="AZ17" i="1"/>
  <c r="AS17" i="1"/>
  <c r="AI17" i="1"/>
  <c r="AC17" i="1"/>
  <c r="S17" i="1"/>
  <c r="B17" i="1"/>
  <c r="LN16" i="1"/>
  <c r="LD16" i="1"/>
  <c r="KM16" i="1"/>
  <c r="KG16" i="1"/>
  <c r="JW16" i="1"/>
  <c r="JP16" i="1"/>
  <c r="JF16" i="1"/>
  <c r="IZ16" i="1"/>
  <c r="IP16" i="1"/>
  <c r="II16" i="1"/>
  <c r="HY16" i="1"/>
  <c r="HS16" i="1"/>
  <c r="HI16" i="1"/>
  <c r="HB16" i="1"/>
  <c r="GR16" i="1"/>
  <c r="GL16" i="1"/>
  <c r="GB16" i="1"/>
  <c r="FU16" i="1"/>
  <c r="FK16" i="1"/>
  <c r="FE16" i="1"/>
  <c r="EU16" i="1"/>
  <c r="EN16" i="1"/>
  <c r="ED16" i="1"/>
  <c r="DX16" i="1"/>
  <c r="DN16" i="1"/>
  <c r="DG16" i="1"/>
  <c r="CW16" i="1"/>
  <c r="CQ16" i="1"/>
  <c r="CG16" i="1"/>
  <c r="BZ16" i="1"/>
  <c r="BP16" i="1"/>
  <c r="BJ16" i="1"/>
  <c r="AZ16" i="1"/>
  <c r="AS16" i="1"/>
  <c r="AI16" i="1"/>
  <c r="AC16" i="1"/>
  <c r="S16" i="1"/>
  <c r="B16" i="1"/>
  <c r="LN15" i="1"/>
  <c r="LD15" i="1"/>
  <c r="KM15" i="1"/>
  <c r="KG15" i="1"/>
  <c r="JW15" i="1"/>
  <c r="JP15" i="1"/>
  <c r="JF15" i="1"/>
  <c r="IZ15" i="1"/>
  <c r="IP15" i="1"/>
  <c r="II15" i="1"/>
  <c r="HY15" i="1"/>
  <c r="HS15" i="1"/>
  <c r="HI15" i="1"/>
  <c r="HB15" i="1"/>
  <c r="GR15" i="1"/>
  <c r="GL15" i="1"/>
  <c r="GB15" i="1"/>
  <c r="FU15" i="1"/>
  <c r="FK15" i="1"/>
  <c r="FE15" i="1"/>
  <c r="EU15" i="1"/>
  <c r="EN15" i="1"/>
  <c r="ED15" i="1"/>
  <c r="DX15" i="1"/>
  <c r="DN15" i="1"/>
  <c r="DG15" i="1"/>
  <c r="CW15" i="1"/>
  <c r="CQ15" i="1"/>
  <c r="CG15" i="1"/>
  <c r="BZ15" i="1"/>
  <c r="BP15" i="1"/>
  <c r="BJ15" i="1"/>
  <c r="AZ15" i="1"/>
  <c r="AS15" i="1"/>
  <c r="AI15" i="1"/>
  <c r="AC15" i="1"/>
  <c r="S15" i="1"/>
  <c r="B15" i="1"/>
  <c r="LN14" i="1"/>
  <c r="LD14" i="1"/>
  <c r="KM14" i="1"/>
  <c r="KG14" i="1"/>
  <c r="JW14" i="1"/>
  <c r="JP14" i="1"/>
  <c r="JF14" i="1"/>
  <c r="IZ14" i="1"/>
  <c r="IP14" i="1"/>
  <c r="II14" i="1"/>
  <c r="HY14" i="1"/>
  <c r="HS14" i="1"/>
  <c r="HI14" i="1"/>
  <c r="HB14" i="1"/>
  <c r="GR14" i="1"/>
  <c r="GL14" i="1"/>
  <c r="GB14" i="1"/>
  <c r="FU14" i="1"/>
  <c r="FK14" i="1"/>
  <c r="FE14" i="1"/>
  <c r="EU14" i="1"/>
  <c r="EN14" i="1"/>
  <c r="ED14" i="1"/>
  <c r="DX14" i="1"/>
  <c r="DN14" i="1"/>
  <c r="DG14" i="1"/>
  <c r="CW14" i="1"/>
  <c r="CQ14" i="1"/>
  <c r="CG14" i="1"/>
  <c r="BZ14" i="1"/>
  <c r="BP14" i="1"/>
  <c r="BJ14" i="1"/>
  <c r="AZ14" i="1"/>
  <c r="AS14" i="1"/>
  <c r="AI14" i="1"/>
  <c r="AC14" i="1"/>
  <c r="S14" i="1"/>
  <c r="LN10" i="1"/>
  <c r="LE10" i="1"/>
  <c r="KW10" i="1"/>
  <c r="KN10" i="1"/>
  <c r="KG10" i="1"/>
  <c r="JX10" i="1"/>
  <c r="JP10" i="1"/>
  <c r="JG10" i="1"/>
  <c r="IZ10" i="1"/>
  <c r="IQ10" i="1"/>
  <c r="II10" i="1"/>
  <c r="HZ10" i="1"/>
  <c r="HS10" i="1"/>
  <c r="HJ10" i="1"/>
  <c r="HB10" i="1"/>
  <c r="GS10" i="1"/>
  <c r="GL10" i="1"/>
  <c r="GC10" i="1"/>
  <c r="FU10" i="1"/>
  <c r="FL10" i="1"/>
  <c r="FE10" i="1"/>
  <c r="EV10" i="1"/>
  <c r="EN10" i="1"/>
  <c r="EE10" i="1"/>
  <c r="DX10" i="1"/>
  <c r="DO10" i="1"/>
  <c r="DG10" i="1"/>
  <c r="CX10" i="1"/>
  <c r="CQ10" i="1"/>
  <c r="CH10" i="1"/>
  <c r="BZ10" i="1"/>
  <c r="BQ10" i="1"/>
  <c r="BJ10" i="1"/>
  <c r="BA10" i="1"/>
  <c r="AS10" i="1"/>
  <c r="AJ10" i="1"/>
  <c r="AC10" i="1"/>
  <c r="T10" i="1"/>
  <c r="L10" i="1"/>
  <c r="C10" i="1"/>
  <c r="LN9" i="1"/>
  <c r="LE9" i="1"/>
  <c r="KW9" i="1"/>
  <c r="KN9" i="1"/>
  <c r="KG9" i="1"/>
  <c r="JX9" i="1"/>
  <c r="JP9" i="1"/>
  <c r="JG9" i="1"/>
  <c r="IZ9" i="1"/>
  <c r="IQ9" i="1"/>
  <c r="II9" i="1"/>
  <c r="HZ9" i="1"/>
  <c r="HS9" i="1"/>
  <c r="HJ9" i="1"/>
  <c r="HB9" i="1"/>
  <c r="GS9" i="1"/>
  <c r="GL9" i="1"/>
  <c r="GC9" i="1"/>
  <c r="FU9" i="1"/>
  <c r="FL9" i="1"/>
  <c r="FE9" i="1"/>
  <c r="EV9" i="1"/>
  <c r="EN9" i="1"/>
  <c r="EE9" i="1"/>
  <c r="DX9" i="1"/>
  <c r="DO9" i="1"/>
  <c r="DG9" i="1"/>
  <c r="CX9" i="1"/>
  <c r="CQ9" i="1"/>
  <c r="CH9" i="1"/>
  <c r="BZ9" i="1"/>
  <c r="BQ9" i="1"/>
  <c r="BJ9" i="1"/>
  <c r="BA9" i="1"/>
  <c r="AS9" i="1"/>
  <c r="AJ9" i="1"/>
  <c r="AC9" i="1"/>
  <c r="T9" i="1"/>
  <c r="L9" i="1"/>
  <c r="C9" i="1"/>
  <c r="LQ8" i="1"/>
  <c r="LN8" i="1"/>
  <c r="LE8" i="1"/>
  <c r="KZ8" i="1"/>
  <c r="KW8" i="1"/>
  <c r="KN8" i="1"/>
  <c r="KJ8" i="1"/>
  <c r="KG8" i="1"/>
  <c r="JX8" i="1"/>
  <c r="JS8" i="1"/>
  <c r="JP8" i="1"/>
  <c r="JG8" i="1"/>
  <c r="JC8" i="1"/>
  <c r="IZ8" i="1"/>
  <c r="IQ8" i="1"/>
  <c r="IL8" i="1"/>
  <c r="II8" i="1"/>
  <c r="HZ8" i="1"/>
  <c r="HV8" i="1"/>
  <c r="HS8" i="1"/>
  <c r="HJ8" i="1"/>
  <c r="HE8" i="1"/>
  <c r="HB8" i="1"/>
  <c r="GS8" i="1"/>
  <c r="GO8" i="1"/>
  <c r="GL8" i="1"/>
  <c r="GC8" i="1"/>
  <c r="FX8" i="1"/>
  <c r="FU8" i="1"/>
  <c r="FL8" i="1"/>
  <c r="FH8" i="1"/>
  <c r="FE8" i="1"/>
  <c r="EV8" i="1"/>
  <c r="EQ8" i="1"/>
  <c r="EN8" i="1"/>
  <c r="EE8" i="1"/>
  <c r="EA8" i="1"/>
  <c r="DX8" i="1"/>
  <c r="DO8" i="1"/>
  <c r="DJ8" i="1"/>
  <c r="DG8" i="1"/>
  <c r="CX8" i="1"/>
  <c r="CT8" i="1"/>
  <c r="CQ8" i="1"/>
  <c r="CH8" i="1"/>
  <c r="CC8" i="1"/>
  <c r="BZ8" i="1"/>
  <c r="BQ8" i="1"/>
  <c r="BM8" i="1"/>
  <c r="BJ8" i="1"/>
  <c r="BA8" i="1"/>
  <c r="AV8" i="1"/>
  <c r="AS8" i="1"/>
  <c r="AJ8" i="1"/>
  <c r="AF8" i="1"/>
  <c r="AC8" i="1"/>
  <c r="T8" i="1"/>
  <c r="O8" i="1"/>
  <c r="L8" i="1"/>
  <c r="C8" i="1"/>
  <c r="LM1" i="1"/>
  <c r="KV1" i="1"/>
  <c r="KF1" i="1"/>
  <c r="JO1" i="1"/>
  <c r="IY1" i="1"/>
  <c r="IH1" i="1"/>
  <c r="HR1" i="1"/>
  <c r="HA1" i="1"/>
  <c r="GK1" i="1"/>
  <c r="FT1" i="1"/>
  <c r="FD1" i="1"/>
  <c r="EM1" i="1"/>
  <c r="DW1" i="1"/>
  <c r="DF1" i="1"/>
  <c r="CP1" i="1"/>
  <c r="BY1" i="1"/>
  <c r="BI1" i="1"/>
  <c r="AR1" i="1"/>
  <c r="AB1" i="1"/>
  <c r="K1" i="1"/>
  <c r="IF40" i="1" l="1"/>
  <c r="DD40" i="1"/>
  <c r="O28" i="1"/>
  <c r="CC28" i="1"/>
  <c r="CT28" i="1"/>
  <c r="DJ28" i="1"/>
  <c r="EA28" i="1"/>
  <c r="EQ28" i="1"/>
  <c r="FX28" i="1"/>
  <c r="GO28" i="1"/>
  <c r="HE28" i="1"/>
  <c r="JC28" i="1"/>
  <c r="JS28" i="1"/>
  <c r="AF29" i="1"/>
  <c r="AV29" i="1"/>
  <c r="DJ29" i="1"/>
  <c r="EA29" i="1"/>
  <c r="EQ29" i="1"/>
  <c r="FH29" i="1"/>
  <c r="FX29" i="1"/>
  <c r="HE29" i="1"/>
  <c r="HV29" i="1"/>
  <c r="IL29" i="1"/>
  <c r="KJ29" i="1"/>
  <c r="KZ29" i="1"/>
  <c r="Z40" i="1"/>
  <c r="FB40" i="1"/>
  <c r="KD40" i="1"/>
  <c r="AP40" i="1"/>
  <c r="FR40" i="1"/>
  <c r="KT40" i="1"/>
  <c r="CN40" i="1"/>
  <c r="HP40" i="1"/>
  <c r="FH28" i="1"/>
  <c r="GO29" i="1"/>
  <c r="HV28" i="1"/>
  <c r="IL28" i="1"/>
  <c r="O29" i="1"/>
  <c r="JC29" i="1"/>
  <c r="JS29" i="1"/>
  <c r="AF28" i="1"/>
  <c r="AV28" i="1"/>
  <c r="BM28" i="1"/>
  <c r="KJ28" i="1"/>
  <c r="KZ28" i="1"/>
  <c r="LQ28" i="1"/>
  <c r="BM29" i="1"/>
  <c r="CC29" i="1"/>
  <c r="CT29" i="1"/>
  <c r="LQ29" i="1"/>
  <c r="BG40" i="1"/>
  <c r="DU40" i="1"/>
  <c r="GI40" i="1"/>
  <c r="IW40" i="1"/>
  <c r="LK40" i="1"/>
  <c r="I40" i="1"/>
  <c r="BW40" i="1"/>
  <c r="EK40" i="1"/>
  <c r="GY40" i="1"/>
  <c r="JM40" i="1"/>
  <c r="J18" i="1" l="1"/>
  <c r="J17" i="1"/>
  <c r="J16" i="1"/>
  <c r="J15" i="1"/>
  <c r="J14" i="1"/>
  <c r="Z14" i="1"/>
  <c r="Z15" i="1"/>
  <c r="Z16" i="1"/>
  <c r="Z17" i="1"/>
  <c r="Z18" i="1"/>
  <c r="Z19" i="1"/>
  <c r="Z20" i="1"/>
  <c r="Z21" i="1"/>
  <c r="Z22" i="1"/>
  <c r="Z23" i="1"/>
  <c r="AP14" i="1"/>
  <c r="AP15" i="1"/>
  <c r="AP16" i="1"/>
  <c r="AP17" i="1"/>
  <c r="AP18" i="1"/>
  <c r="AP19" i="1"/>
  <c r="AP20" i="1"/>
  <c r="AP21" i="1"/>
  <c r="AP22" i="1"/>
  <c r="AP23" i="1"/>
  <c r="BG14" i="1"/>
  <c r="BG15" i="1"/>
  <c r="BG16" i="1"/>
  <c r="BG17" i="1"/>
  <c r="BG18" i="1"/>
  <c r="BG19" i="1"/>
  <c r="BG20" i="1"/>
  <c r="BG21" i="1"/>
  <c r="BG22" i="1"/>
  <c r="BG23" i="1"/>
  <c r="BW14" i="1"/>
  <c r="BW15" i="1"/>
  <c r="BW16" i="1"/>
  <c r="BW17" i="1"/>
  <c r="BW18" i="1"/>
  <c r="BW19" i="1"/>
  <c r="BW20" i="1"/>
  <c r="BW21" i="1"/>
  <c r="BW22" i="1"/>
  <c r="BW23" i="1"/>
  <c r="CN14" i="1"/>
  <c r="CN15" i="1"/>
  <c r="CN16" i="1"/>
  <c r="CN17" i="1"/>
  <c r="CN18" i="1"/>
  <c r="CN19" i="1"/>
  <c r="CN20" i="1"/>
  <c r="CN21" i="1"/>
  <c r="CN22" i="1"/>
  <c r="CN23" i="1"/>
  <c r="DD14" i="1"/>
  <c r="DD15" i="1"/>
  <c r="DD16" i="1"/>
  <c r="DD17" i="1"/>
  <c r="DD18" i="1"/>
  <c r="DD19" i="1"/>
  <c r="DD20" i="1"/>
  <c r="DD21" i="1"/>
  <c r="DD22" i="1"/>
  <c r="DD23" i="1"/>
  <c r="DU14" i="1"/>
  <c r="DU15" i="1"/>
  <c r="DU16" i="1"/>
  <c r="DU17" i="1"/>
  <c r="DU18" i="1"/>
  <c r="DU19" i="1"/>
  <c r="DU20" i="1"/>
  <c r="DU21" i="1"/>
  <c r="DU22" i="1"/>
  <c r="DU23" i="1"/>
  <c r="EK14" i="1"/>
  <c r="EK15" i="1"/>
  <c r="EK16" i="1"/>
  <c r="EK17" i="1"/>
  <c r="EK18" i="1"/>
  <c r="EK19" i="1"/>
  <c r="EK20" i="1"/>
  <c r="EK21" i="1"/>
  <c r="EK22" i="1"/>
  <c r="EK23" i="1"/>
  <c r="FB14" i="1"/>
  <c r="FB15" i="1"/>
  <c r="FB16" i="1"/>
  <c r="FB17" i="1"/>
  <c r="FB18" i="1"/>
  <c r="FB19" i="1"/>
  <c r="FB20" i="1"/>
  <c r="FB21" i="1"/>
  <c r="FB22" i="1"/>
  <c r="FB23" i="1"/>
  <c r="FR14" i="1"/>
  <c r="FR15" i="1"/>
  <c r="FR16" i="1"/>
  <c r="FR17" i="1"/>
  <c r="FR18" i="1"/>
  <c r="FR19" i="1"/>
  <c r="FR20" i="1"/>
  <c r="FR21" i="1"/>
  <c r="FR22" i="1"/>
  <c r="FR23" i="1"/>
  <c r="GI14" i="1"/>
  <c r="GI15" i="1"/>
  <c r="GI16" i="1"/>
  <c r="GI17" i="1"/>
  <c r="GI18" i="1"/>
  <c r="GI19" i="1"/>
  <c r="GI20" i="1"/>
  <c r="GI21" i="1"/>
  <c r="GI22" i="1"/>
  <c r="GI23" i="1"/>
  <c r="GY14" i="1"/>
  <c r="GY15" i="1"/>
  <c r="GY16" i="1"/>
  <c r="GY17" i="1"/>
  <c r="GY18" i="1"/>
  <c r="GY19" i="1"/>
  <c r="GY20" i="1"/>
  <c r="GY21" i="1"/>
  <c r="GY22" i="1"/>
  <c r="GY23" i="1"/>
  <c r="HP14" i="1"/>
  <c r="HP15" i="1"/>
  <c r="HP16" i="1"/>
  <c r="HP17" i="1"/>
  <c r="HP18" i="1"/>
  <c r="HP19" i="1"/>
  <c r="HP20" i="1"/>
  <c r="HP21" i="1"/>
  <c r="HP22" i="1"/>
  <c r="HP23" i="1"/>
  <c r="IF14" i="1"/>
  <c r="IF15" i="1"/>
  <c r="IF16" i="1"/>
  <c r="IF17" i="1"/>
  <c r="IF18" i="1"/>
  <c r="IF19" i="1"/>
  <c r="IF20" i="1"/>
  <c r="IF21" i="1"/>
  <c r="IF22" i="1"/>
  <c r="IF23" i="1"/>
  <c r="IW14" i="1"/>
  <c r="IW15" i="1"/>
  <c r="IW16" i="1"/>
  <c r="IW17" i="1"/>
  <c r="IW18" i="1"/>
  <c r="IW19" i="1"/>
  <c r="IW20" i="1"/>
  <c r="IW21" i="1"/>
  <c r="IW22" i="1"/>
  <c r="IW23" i="1"/>
  <c r="JM14" i="1"/>
  <c r="JM15" i="1"/>
  <c r="JM16" i="1"/>
  <c r="JM17" i="1"/>
  <c r="JM18" i="1"/>
  <c r="JM19" i="1"/>
  <c r="JM20" i="1"/>
  <c r="JM21" i="1"/>
  <c r="JM22" i="1"/>
  <c r="JM23" i="1"/>
  <c r="KD14" i="1"/>
  <c r="KD15" i="1"/>
  <c r="KD16" i="1"/>
  <c r="KD17" i="1"/>
  <c r="KD18" i="1"/>
  <c r="KD19" i="1"/>
  <c r="KD20" i="1"/>
  <c r="KD21" i="1"/>
  <c r="KD22" i="1"/>
  <c r="KD23" i="1"/>
  <c r="KT14" i="1"/>
  <c r="KT15" i="1"/>
  <c r="KT16" i="1"/>
  <c r="KT17" i="1"/>
  <c r="KT18" i="1"/>
  <c r="KT19" i="1"/>
  <c r="KT20" i="1"/>
  <c r="KT21" i="1"/>
  <c r="KT22" i="1"/>
  <c r="KT23" i="1"/>
  <c r="LK14" i="1"/>
  <c r="LK15" i="1"/>
  <c r="LK16" i="1"/>
  <c r="LK17" i="1"/>
  <c r="LK18" i="1"/>
  <c r="LK19" i="1"/>
  <c r="LK20" i="1"/>
  <c r="LK21" i="1"/>
  <c r="LK22" i="1"/>
  <c r="LK23" i="1"/>
  <c r="I23" i="1"/>
  <c r="I22" i="1"/>
  <c r="I21" i="1"/>
  <c r="I20" i="1"/>
  <c r="I19" i="1"/>
  <c r="I18" i="1"/>
  <c r="I17" i="1"/>
  <c r="I16" i="1"/>
  <c r="I15" i="1"/>
  <c r="I14" i="1"/>
  <c r="Y14" i="1"/>
  <c r="Y15" i="1"/>
  <c r="Y16" i="1"/>
  <c r="Y17" i="1"/>
  <c r="Y18" i="1"/>
  <c r="Y19" i="1"/>
  <c r="Y20" i="1"/>
  <c r="Y21" i="1"/>
  <c r="Y22" i="1"/>
  <c r="Y23" i="1"/>
  <c r="AO14" i="1"/>
  <c r="AO15" i="1"/>
  <c r="AO16" i="1"/>
  <c r="AO17" i="1"/>
  <c r="AO18" i="1"/>
  <c r="AO19" i="1"/>
  <c r="AO20" i="1"/>
  <c r="AO21" i="1"/>
  <c r="AO22" i="1"/>
  <c r="AO23" i="1"/>
  <c r="BF14" i="1"/>
  <c r="BF15" i="1"/>
  <c r="BF16" i="1"/>
  <c r="BF17" i="1"/>
  <c r="BF18" i="1"/>
  <c r="BF19" i="1"/>
  <c r="BF20" i="1"/>
  <c r="BF21" i="1"/>
  <c r="BF22" i="1"/>
  <c r="BF23" i="1"/>
  <c r="BV14" i="1"/>
  <c r="BV15" i="1"/>
  <c r="BV16" i="1"/>
  <c r="BV17" i="1"/>
  <c r="BV18" i="1"/>
  <c r="BV19" i="1"/>
  <c r="BV20" i="1"/>
  <c r="BV21" i="1"/>
  <c r="BV22" i="1"/>
  <c r="BV23" i="1"/>
  <c r="CM14" i="1"/>
  <c r="CM15" i="1"/>
  <c r="CM16" i="1"/>
  <c r="CM17" i="1"/>
  <c r="CM18" i="1"/>
  <c r="CM19" i="1"/>
  <c r="CM20" i="1"/>
  <c r="CM21" i="1"/>
  <c r="CM22" i="1"/>
  <c r="CM23" i="1"/>
  <c r="DC14" i="1"/>
  <c r="DC15" i="1"/>
  <c r="DC16" i="1"/>
  <c r="DC17" i="1"/>
  <c r="DC18" i="1"/>
  <c r="DC19" i="1"/>
  <c r="DC20" i="1"/>
  <c r="DC21" i="1"/>
  <c r="DC22" i="1"/>
  <c r="DC23" i="1"/>
  <c r="DT14" i="1"/>
  <c r="DT15" i="1"/>
  <c r="DT16" i="1"/>
  <c r="DT17" i="1"/>
  <c r="DT18" i="1"/>
  <c r="DT19" i="1"/>
  <c r="DT20" i="1"/>
  <c r="DT21" i="1"/>
  <c r="DT22" i="1"/>
  <c r="DT23" i="1"/>
  <c r="EJ14" i="1"/>
  <c r="EJ15" i="1"/>
  <c r="EJ16" i="1"/>
  <c r="EJ17" i="1"/>
  <c r="EJ18" i="1"/>
  <c r="EJ19" i="1"/>
  <c r="EJ20" i="1"/>
  <c r="EJ21" i="1"/>
  <c r="EJ22" i="1"/>
  <c r="EJ23" i="1"/>
  <c r="FA14" i="1"/>
  <c r="FA15" i="1"/>
  <c r="FA16" i="1"/>
  <c r="FA17" i="1"/>
  <c r="FA18" i="1"/>
  <c r="FA19" i="1"/>
  <c r="FA20" i="1"/>
  <c r="FA21" i="1"/>
  <c r="FA22" i="1"/>
  <c r="FA23" i="1"/>
  <c r="FQ14" i="1"/>
  <c r="FQ15" i="1"/>
  <c r="FQ16" i="1"/>
  <c r="FQ17" i="1"/>
  <c r="FQ18" i="1"/>
  <c r="FQ19" i="1"/>
  <c r="FQ20" i="1"/>
  <c r="FQ21" i="1"/>
  <c r="FQ22" i="1"/>
  <c r="FQ23" i="1"/>
  <c r="GH14" i="1"/>
  <c r="GH15" i="1"/>
  <c r="GH16" i="1"/>
  <c r="GH17" i="1"/>
  <c r="GH18" i="1"/>
  <c r="GH19" i="1"/>
  <c r="GH20" i="1"/>
  <c r="GH21" i="1"/>
  <c r="GH22" i="1"/>
  <c r="GH23" i="1"/>
  <c r="GX14" i="1"/>
  <c r="GX15" i="1"/>
  <c r="GX16" i="1"/>
  <c r="GX17" i="1"/>
  <c r="GX18" i="1"/>
  <c r="GX19" i="1"/>
  <c r="GX20" i="1"/>
  <c r="GX21" i="1"/>
  <c r="GX22" i="1"/>
  <c r="GX23" i="1"/>
  <c r="HO14" i="1"/>
  <c r="HO15" i="1"/>
  <c r="HO16" i="1"/>
  <c r="HO17" i="1"/>
  <c r="HO18" i="1"/>
  <c r="HO19" i="1"/>
  <c r="HO20" i="1"/>
  <c r="HO21" i="1"/>
  <c r="HO22" i="1"/>
  <c r="HO23" i="1"/>
  <c r="IE14" i="1"/>
  <c r="IE15" i="1"/>
  <c r="IE16" i="1"/>
  <c r="IE17" i="1"/>
  <c r="IE18" i="1"/>
  <c r="IE19" i="1"/>
  <c r="IE20" i="1"/>
  <c r="IE21" i="1"/>
  <c r="IE22" i="1"/>
  <c r="IE23" i="1"/>
  <c r="IV14" i="1"/>
  <c r="IV15" i="1"/>
  <c r="IV16" i="1"/>
  <c r="IV17" i="1"/>
  <c r="IV18" i="1"/>
  <c r="IV19" i="1"/>
  <c r="IV20" i="1"/>
  <c r="IV21" i="1"/>
  <c r="IV22" i="1"/>
  <c r="IV23" i="1"/>
  <c r="JL14" i="1"/>
  <c r="JL15" i="1"/>
  <c r="JL16" i="1"/>
  <c r="JL17" i="1"/>
  <c r="JL18" i="1"/>
  <c r="JL19" i="1"/>
  <c r="JL20" i="1"/>
  <c r="JL21" i="1"/>
  <c r="JL22" i="1"/>
  <c r="JL23" i="1"/>
  <c r="KC14" i="1"/>
  <c r="KC15" i="1"/>
  <c r="KC16" i="1"/>
  <c r="KC17" i="1"/>
  <c r="KC18" i="1"/>
  <c r="KC19" i="1"/>
  <c r="KC20" i="1"/>
  <c r="KC21" i="1"/>
  <c r="KC22" i="1"/>
  <c r="KC23" i="1"/>
  <c r="KS14" i="1"/>
  <c r="KS15" i="1"/>
  <c r="KS16" i="1"/>
  <c r="KS17" i="1"/>
  <c r="KS18" i="1"/>
  <c r="KS19" i="1"/>
  <c r="KS20" i="1"/>
  <c r="KS21" i="1"/>
  <c r="KS22" i="1"/>
  <c r="KS23" i="1"/>
  <c r="LJ14" i="1"/>
  <c r="LJ15" i="1"/>
  <c r="LJ16" i="1"/>
  <c r="LJ17" i="1"/>
  <c r="LJ18" i="1"/>
  <c r="LJ19" i="1"/>
  <c r="LJ20" i="1"/>
  <c r="LJ21" i="1"/>
  <c r="LJ22" i="1"/>
  <c r="LJ23" i="1"/>
  <c r="H23" i="1"/>
  <c r="H22" i="1"/>
  <c r="H21" i="1"/>
  <c r="H20" i="1"/>
  <c r="H19" i="1"/>
  <c r="H18" i="1"/>
  <c r="H17" i="1"/>
  <c r="H16" i="1"/>
  <c r="H15" i="1"/>
  <c r="X14" i="1"/>
  <c r="X15" i="1"/>
  <c r="X16" i="1"/>
  <c r="X17" i="1"/>
  <c r="X18" i="1"/>
  <c r="X19" i="1"/>
  <c r="X20" i="1"/>
  <c r="X21" i="1"/>
  <c r="X22" i="1"/>
  <c r="X23" i="1"/>
  <c r="AN14" i="1"/>
  <c r="AN15" i="1"/>
  <c r="AN16" i="1"/>
  <c r="AN17" i="1"/>
  <c r="AN18" i="1"/>
  <c r="AN19" i="1"/>
  <c r="AN20" i="1"/>
  <c r="AN21" i="1"/>
  <c r="AN22" i="1"/>
  <c r="AN23" i="1"/>
  <c r="BE14" i="1"/>
  <c r="BE15" i="1"/>
  <c r="BE16" i="1"/>
  <c r="BE17" i="1"/>
  <c r="BE18" i="1"/>
  <c r="BE19" i="1"/>
  <c r="BE20" i="1"/>
  <c r="BE21" i="1"/>
  <c r="BE22" i="1"/>
  <c r="BE23" i="1"/>
  <c r="BU14" i="1"/>
  <c r="BU15" i="1"/>
  <c r="BU16" i="1"/>
  <c r="BU17" i="1"/>
  <c r="BU18" i="1"/>
  <c r="BU19" i="1"/>
  <c r="BU20" i="1"/>
  <c r="BU21" i="1"/>
  <c r="BU22" i="1"/>
  <c r="BU23" i="1"/>
  <c r="CL14" i="1"/>
  <c r="CL15" i="1"/>
  <c r="CL16" i="1"/>
  <c r="CL17" i="1"/>
  <c r="CL18" i="1"/>
  <c r="CL19" i="1"/>
  <c r="CL20" i="1"/>
  <c r="CL21" i="1"/>
  <c r="CL22" i="1"/>
  <c r="CL23" i="1"/>
  <c r="DB14" i="1"/>
  <c r="DB15" i="1"/>
  <c r="DB16" i="1"/>
  <c r="DB17" i="1"/>
  <c r="DB18" i="1"/>
  <c r="DB19" i="1"/>
  <c r="DB20" i="1"/>
  <c r="DB21" i="1"/>
  <c r="DB22" i="1"/>
  <c r="DB23" i="1"/>
  <c r="DS14" i="1"/>
  <c r="DS15" i="1"/>
  <c r="DS16" i="1"/>
  <c r="DS17" i="1"/>
  <c r="DS18" i="1"/>
  <c r="DS19" i="1"/>
  <c r="DS20" i="1"/>
  <c r="DS21" i="1"/>
  <c r="DS22" i="1"/>
  <c r="DS23" i="1"/>
  <c r="EI14" i="1"/>
  <c r="EI15" i="1"/>
  <c r="EI16" i="1"/>
  <c r="EI17" i="1"/>
  <c r="EI18" i="1"/>
  <c r="EI19" i="1"/>
  <c r="EI20" i="1"/>
  <c r="EI21" i="1"/>
  <c r="EI22" i="1"/>
  <c r="EI23" i="1"/>
  <c r="EZ14" i="1"/>
  <c r="EZ15" i="1"/>
  <c r="EZ16" i="1"/>
  <c r="EZ17" i="1"/>
  <c r="EZ18" i="1"/>
  <c r="EZ19" i="1"/>
  <c r="EZ20" i="1"/>
  <c r="EZ21" i="1"/>
  <c r="EZ22" i="1"/>
  <c r="EZ23" i="1"/>
  <c r="FP14" i="1"/>
  <c r="FP15" i="1"/>
  <c r="FP16" i="1"/>
  <c r="FP17" i="1"/>
  <c r="FP18" i="1"/>
  <c r="FP19" i="1"/>
  <c r="FP20" i="1"/>
  <c r="FP21" i="1"/>
  <c r="FP22" i="1"/>
  <c r="FP23" i="1"/>
  <c r="GG14" i="1"/>
  <c r="GG15" i="1"/>
  <c r="GG16" i="1"/>
  <c r="GG17" i="1"/>
  <c r="GG18" i="1"/>
  <c r="GG19" i="1"/>
  <c r="GG20" i="1"/>
  <c r="GG21" i="1"/>
  <c r="GG22" i="1"/>
  <c r="GG23" i="1"/>
  <c r="GW14" i="1"/>
  <c r="GW15" i="1"/>
  <c r="GW16" i="1"/>
  <c r="GW17" i="1"/>
  <c r="GW18" i="1"/>
  <c r="GW19" i="1"/>
  <c r="GW20" i="1"/>
  <c r="GW21" i="1"/>
  <c r="GW22" i="1"/>
  <c r="GW23" i="1"/>
  <c r="HN14" i="1"/>
  <c r="HN15" i="1"/>
  <c r="HN16" i="1"/>
  <c r="HN17" i="1"/>
  <c r="HN18" i="1"/>
  <c r="HN19" i="1"/>
  <c r="HN20" i="1"/>
  <c r="HN21" i="1"/>
  <c r="HN22" i="1"/>
  <c r="HN23" i="1"/>
  <c r="ID14" i="1"/>
  <c r="ID15" i="1"/>
  <c r="ID16" i="1"/>
  <c r="ID17" i="1"/>
  <c r="ID18" i="1"/>
  <c r="ID19" i="1"/>
  <c r="ID20" i="1"/>
  <c r="ID21" i="1"/>
  <c r="ID22" i="1"/>
  <c r="ID23" i="1"/>
  <c r="IU14" i="1"/>
  <c r="IU15" i="1"/>
  <c r="IU16" i="1"/>
  <c r="IU17" i="1"/>
  <c r="IU18" i="1"/>
  <c r="IU19" i="1"/>
  <c r="IU20" i="1"/>
  <c r="IU21" i="1"/>
  <c r="IU22" i="1"/>
  <c r="IU23" i="1"/>
  <c r="JK14" i="1"/>
  <c r="JK15" i="1"/>
  <c r="JK16" i="1"/>
  <c r="JK17" i="1"/>
  <c r="JK18" i="1"/>
  <c r="JK19" i="1"/>
  <c r="JK20" i="1"/>
  <c r="JK21" i="1"/>
  <c r="JK22" i="1"/>
  <c r="JK23" i="1"/>
  <c r="KB14" i="1"/>
  <c r="KB15" i="1"/>
  <c r="KB16" i="1"/>
  <c r="KB17" i="1"/>
  <c r="KB18" i="1"/>
  <c r="KB19" i="1"/>
  <c r="KB20" i="1"/>
  <c r="KB21" i="1"/>
  <c r="KB22" i="1"/>
  <c r="KB23" i="1"/>
  <c r="KR14" i="1"/>
  <c r="KR15" i="1"/>
  <c r="KR16" i="1"/>
  <c r="KR17" i="1"/>
  <c r="KR18" i="1"/>
  <c r="KR19" i="1"/>
  <c r="KR20" i="1"/>
  <c r="KR21" i="1"/>
  <c r="KR22" i="1"/>
  <c r="KR23" i="1"/>
  <c r="LI14" i="1"/>
  <c r="LI15" i="1"/>
  <c r="LI16" i="1"/>
  <c r="LI17" i="1"/>
  <c r="LI18" i="1"/>
  <c r="LI19" i="1"/>
  <c r="LI20" i="1"/>
  <c r="LI21" i="1"/>
  <c r="LI22" i="1"/>
  <c r="LI23" i="1"/>
  <c r="G23" i="1"/>
  <c r="G22" i="1"/>
  <c r="G21" i="1"/>
  <c r="G20" i="1"/>
  <c r="G19" i="1"/>
  <c r="G18" i="1"/>
  <c r="G17" i="1"/>
  <c r="G16" i="1"/>
  <c r="G15" i="1"/>
  <c r="J19" i="1" l="1"/>
  <c r="L14" i="1"/>
  <c r="J20" i="1"/>
  <c r="L15" i="1"/>
  <c r="J23" i="1"/>
  <c r="L18" i="1"/>
  <c r="J21" i="1"/>
  <c r="L16" i="1"/>
  <c r="J22" i="1"/>
  <c r="L17" i="1"/>
  <c r="K17" i="1" l="1"/>
  <c r="M17" i="1" s="1"/>
  <c r="K19" i="1"/>
  <c r="M19" i="1" s="1"/>
  <c r="AA14" i="1"/>
  <c r="AA15" i="1"/>
  <c r="AA16" i="1"/>
  <c r="AA17" i="1"/>
  <c r="AA18" i="1"/>
  <c r="AA19" i="1"/>
  <c r="AA20" i="1"/>
  <c r="AA21" i="1"/>
  <c r="AA22" i="1"/>
  <c r="AA23" i="1"/>
  <c r="AQ14" i="1"/>
  <c r="AQ15" i="1"/>
  <c r="AQ16" i="1"/>
  <c r="AQ17" i="1"/>
  <c r="AQ18" i="1"/>
  <c r="AQ19" i="1"/>
  <c r="AQ20" i="1"/>
  <c r="AQ21" i="1"/>
  <c r="AQ22" i="1"/>
  <c r="AQ23" i="1"/>
  <c r="BH14" i="1"/>
  <c r="BH15" i="1"/>
  <c r="BH16" i="1"/>
  <c r="BH17" i="1"/>
  <c r="BH18" i="1"/>
  <c r="BH19" i="1"/>
  <c r="BH20" i="1"/>
  <c r="BH21" i="1"/>
  <c r="BH22" i="1"/>
  <c r="BH23" i="1"/>
  <c r="BX14" i="1"/>
  <c r="BX15" i="1"/>
  <c r="BX16" i="1"/>
  <c r="BX17" i="1"/>
  <c r="BX18" i="1"/>
  <c r="BX19" i="1"/>
  <c r="BX20" i="1"/>
  <c r="BX21" i="1"/>
  <c r="BX22" i="1"/>
  <c r="BX23" i="1"/>
  <c r="CO14" i="1"/>
  <c r="CO15" i="1"/>
  <c r="CO16" i="1"/>
  <c r="CO17" i="1"/>
  <c r="CO18" i="1"/>
  <c r="CO19" i="1"/>
  <c r="CO20" i="1"/>
  <c r="CO21" i="1"/>
  <c r="CO22" i="1"/>
  <c r="CO23" i="1"/>
  <c r="DE14" i="1"/>
  <c r="DE15" i="1"/>
  <c r="DE16" i="1"/>
  <c r="DE17" i="1"/>
  <c r="DE18" i="1"/>
  <c r="DE19" i="1"/>
  <c r="DE20" i="1"/>
  <c r="DE21" i="1"/>
  <c r="DE22" i="1"/>
  <c r="DE23" i="1"/>
  <c r="DV14" i="1"/>
  <c r="DV15" i="1"/>
  <c r="DV16" i="1"/>
  <c r="DV17" i="1"/>
  <c r="DV18" i="1"/>
  <c r="DV19" i="1"/>
  <c r="DV20" i="1"/>
  <c r="DV21" i="1"/>
  <c r="DV22" i="1"/>
  <c r="DV23" i="1"/>
  <c r="EL14" i="1"/>
  <c r="EL15" i="1"/>
  <c r="EL16" i="1"/>
  <c r="EL17" i="1"/>
  <c r="EL18" i="1"/>
  <c r="EL19" i="1"/>
  <c r="EL20" i="1"/>
  <c r="EL21" i="1"/>
  <c r="EL22" i="1"/>
  <c r="EL23" i="1"/>
  <c r="FC14" i="1"/>
  <c r="FC15" i="1"/>
  <c r="FC16" i="1"/>
  <c r="FC17" i="1"/>
  <c r="FC18" i="1"/>
  <c r="FC19" i="1"/>
  <c r="FC20" i="1"/>
  <c r="FC21" i="1"/>
  <c r="FC22" i="1"/>
  <c r="FC23" i="1"/>
  <c r="FS14" i="1"/>
  <c r="FS15" i="1"/>
  <c r="FS16" i="1"/>
  <c r="FS17" i="1"/>
  <c r="FS18" i="1"/>
  <c r="FS19" i="1"/>
  <c r="FS20" i="1"/>
  <c r="FS21" i="1"/>
  <c r="FS22" i="1"/>
  <c r="FS23" i="1"/>
  <c r="GJ14" i="1"/>
  <c r="GJ15" i="1"/>
  <c r="GJ16" i="1"/>
  <c r="GJ17" i="1"/>
  <c r="GJ18" i="1"/>
  <c r="GJ19" i="1"/>
  <c r="GJ20" i="1"/>
  <c r="GJ21" i="1"/>
  <c r="GJ22" i="1"/>
  <c r="GJ23" i="1"/>
  <c r="GZ14" i="1"/>
  <c r="GZ15" i="1"/>
  <c r="GZ16" i="1"/>
  <c r="GZ17" i="1"/>
  <c r="GZ18" i="1"/>
  <c r="GZ19" i="1"/>
  <c r="GZ20" i="1"/>
  <c r="GZ21" i="1"/>
  <c r="GZ22" i="1"/>
  <c r="GZ23" i="1"/>
  <c r="HQ14" i="1"/>
  <c r="HQ15" i="1"/>
  <c r="HQ16" i="1"/>
  <c r="HQ17" i="1"/>
  <c r="HQ18" i="1"/>
  <c r="HQ19" i="1"/>
  <c r="HQ20" i="1"/>
  <c r="HQ21" i="1"/>
  <c r="HQ22" i="1"/>
  <c r="HQ23" i="1"/>
  <c r="IG14" i="1"/>
  <c r="IG15" i="1"/>
  <c r="IG16" i="1"/>
  <c r="IG17" i="1"/>
  <c r="IG18" i="1"/>
  <c r="IG19" i="1"/>
  <c r="IG20" i="1"/>
  <c r="IG21" i="1"/>
  <c r="IG22" i="1"/>
  <c r="IG23" i="1"/>
  <c r="IX14" i="1"/>
  <c r="IX15" i="1"/>
  <c r="IX16" i="1"/>
  <c r="IX17" i="1"/>
  <c r="IX18" i="1"/>
  <c r="IX19" i="1"/>
  <c r="IX20" i="1"/>
  <c r="IX21" i="1"/>
  <c r="IX22" i="1"/>
  <c r="IX23" i="1"/>
  <c r="JN14" i="1"/>
  <c r="JN15" i="1"/>
  <c r="JN16" i="1"/>
  <c r="JN17" i="1"/>
  <c r="JN18" i="1"/>
  <c r="JN19" i="1"/>
  <c r="JN20" i="1"/>
  <c r="JN21" i="1"/>
  <c r="JN22" i="1"/>
  <c r="JN23" i="1"/>
  <c r="KE14" i="1"/>
  <c r="KE15" i="1"/>
  <c r="KE16" i="1"/>
  <c r="KE17" i="1"/>
  <c r="KE18" i="1"/>
  <c r="KE19" i="1"/>
  <c r="KE20" i="1"/>
  <c r="KE21" i="1"/>
  <c r="KE22" i="1"/>
  <c r="KE23" i="1"/>
  <c r="KU14" i="1"/>
  <c r="KU15" i="1"/>
  <c r="KU16" i="1"/>
  <c r="KU17" i="1"/>
  <c r="KU18" i="1"/>
  <c r="KU19" i="1"/>
  <c r="KU20" i="1"/>
  <c r="KU21" i="1"/>
  <c r="KU22" i="1"/>
  <c r="KU23" i="1"/>
  <c r="LL14" i="1"/>
  <c r="LL15" i="1"/>
  <c r="LL16" i="1"/>
  <c r="LL17" i="1"/>
  <c r="LL18" i="1"/>
  <c r="LL19" i="1"/>
  <c r="LL20" i="1"/>
  <c r="LL21" i="1"/>
  <c r="LL22" i="1"/>
  <c r="LL23" i="1"/>
  <c r="IH23" i="1"/>
  <c r="IJ23" i="1" s="1"/>
  <c r="CP20" i="1"/>
  <c r="CR20" i="1" s="1"/>
  <c r="IY20" i="1"/>
  <c r="JA20" i="1" s="1"/>
  <c r="EM19" i="1"/>
  <c r="EO19" i="1" s="1"/>
  <c r="BI17" i="1"/>
  <c r="BK17" i="1" s="1"/>
  <c r="BY17" i="1"/>
  <c r="CA17" i="1" s="1"/>
  <c r="EM17" i="1"/>
  <c r="EO17" i="1" s="1"/>
  <c r="GK17" i="1"/>
  <c r="GM17" i="1" s="1"/>
  <c r="IH17" i="1"/>
  <c r="IJ17" i="1" s="1"/>
  <c r="DF16" i="1"/>
  <c r="DH16" i="1" s="1"/>
  <c r="IY15" i="1"/>
  <c r="JA15" i="1" s="1"/>
  <c r="L19" i="1"/>
  <c r="L20" i="1"/>
  <c r="KJ27" i="1" l="1"/>
  <c r="HV27" i="1"/>
  <c r="FH27" i="1"/>
  <c r="CT27" i="1"/>
  <c r="AF27" i="1"/>
  <c r="JS27" i="1"/>
  <c r="HE27" i="1"/>
  <c r="EQ27" i="1"/>
  <c r="CC27" i="1"/>
  <c r="O27" i="1"/>
  <c r="LQ27" i="1"/>
  <c r="JC27" i="1"/>
  <c r="GO27" i="1"/>
  <c r="EA27" i="1"/>
  <c r="BM27" i="1"/>
  <c r="KZ27" i="1"/>
  <c r="AV27" i="1"/>
  <c r="IL27" i="1"/>
  <c r="FX27" i="1"/>
  <c r="DJ27" i="1"/>
  <c r="FD24" i="1"/>
  <c r="LM14" i="1"/>
  <c r="LO14" i="1" s="1"/>
  <c r="LM24" i="1"/>
  <c r="KV14" i="1"/>
  <c r="KX14" i="1" s="1"/>
  <c r="KV24" i="1"/>
  <c r="KF24" i="1"/>
  <c r="JO14" i="1"/>
  <c r="JQ14" i="1" s="1"/>
  <c r="JO24" i="1"/>
  <c r="IY14" i="1"/>
  <c r="JA14" i="1" s="1"/>
  <c r="IY24" i="1"/>
  <c r="IH14" i="1"/>
  <c r="IJ14" i="1" s="1"/>
  <c r="IH24" i="1"/>
  <c r="HR14" i="1"/>
  <c r="HT14" i="1" s="1"/>
  <c r="HR24" i="1"/>
  <c r="HA14" i="1"/>
  <c r="HC14" i="1" s="1"/>
  <c r="HA24" i="1"/>
  <c r="GK14" i="1"/>
  <c r="GM14" i="1" s="1"/>
  <c r="GK24" i="1"/>
  <c r="FT14" i="1"/>
  <c r="FV14" i="1" s="1"/>
  <c r="FT24" i="1"/>
  <c r="EM14" i="1"/>
  <c r="EO14" i="1" s="1"/>
  <c r="EM24" i="1"/>
  <c r="DW14" i="1"/>
  <c r="DY14" i="1" s="1"/>
  <c r="DW24" i="1"/>
  <c r="DF24" i="1"/>
  <c r="CP14" i="1"/>
  <c r="CR14" i="1" s="1"/>
  <c r="CP24" i="1"/>
  <c r="BY14" i="1"/>
  <c r="CA14" i="1" s="1"/>
  <c r="BY24" i="1"/>
  <c r="BI14" i="1"/>
  <c r="BK14" i="1" s="1"/>
  <c r="BI24" i="1"/>
  <c r="AR14" i="1"/>
  <c r="AT14" i="1" s="1"/>
  <c r="AR24" i="1"/>
  <c r="AB14" i="1"/>
  <c r="AD14" i="1" s="1"/>
  <c r="AB24" i="1"/>
  <c r="K24" i="1"/>
  <c r="K22" i="1"/>
  <c r="M22" i="1" s="1"/>
  <c r="K23" i="1"/>
  <c r="M23" i="1" s="1"/>
  <c r="K14" i="1"/>
  <c r="M14" i="1" s="1"/>
  <c r="LM23" i="1"/>
  <c r="LO23" i="1" s="1"/>
  <c r="DW23" i="1"/>
  <c r="DY23" i="1" s="1"/>
  <c r="DF23" i="1"/>
  <c r="DH23" i="1" s="1"/>
  <c r="CP23" i="1"/>
  <c r="CR23" i="1" s="1"/>
  <c r="IY23" i="1"/>
  <c r="JA23" i="1" s="1"/>
  <c r="BI23" i="1"/>
  <c r="BK23" i="1" s="1"/>
  <c r="AR23" i="1"/>
  <c r="AT23" i="1" s="1"/>
  <c r="HR23" i="1"/>
  <c r="HT23" i="1" s="1"/>
  <c r="AB23" i="1"/>
  <c r="AD23" i="1" s="1"/>
  <c r="EM23" i="1"/>
  <c r="EO23" i="1" s="1"/>
  <c r="KV23" i="1"/>
  <c r="KX23" i="1" s="1"/>
  <c r="JO23" i="1"/>
  <c r="JQ23" i="1" s="1"/>
  <c r="HA23" i="1"/>
  <c r="HC23" i="1" s="1"/>
  <c r="FT23" i="1"/>
  <c r="FV23" i="1" s="1"/>
  <c r="KF23" i="1"/>
  <c r="KH23" i="1" s="1"/>
  <c r="BY23" i="1"/>
  <c r="CA23" i="1" s="1"/>
  <c r="GK23" i="1"/>
  <c r="GM23" i="1" s="1"/>
  <c r="FD23" i="1"/>
  <c r="FF23" i="1" s="1"/>
  <c r="IY22" i="1"/>
  <c r="JA22" i="1" s="1"/>
  <c r="IH22" i="1"/>
  <c r="IJ22" i="1" s="1"/>
  <c r="AR22" i="1"/>
  <c r="AT22" i="1" s="1"/>
  <c r="HR22" i="1"/>
  <c r="HT22" i="1" s="1"/>
  <c r="AB22" i="1"/>
  <c r="AD22" i="1" s="1"/>
  <c r="HA22" i="1"/>
  <c r="HC22" i="1" s="1"/>
  <c r="BI22" i="1"/>
  <c r="BK22" i="1" s="1"/>
  <c r="GK22" i="1"/>
  <c r="GM22" i="1" s="1"/>
  <c r="FT22" i="1"/>
  <c r="FV22" i="1" s="1"/>
  <c r="FD22" i="1"/>
  <c r="FF22" i="1" s="1"/>
  <c r="EM22" i="1"/>
  <c r="EO22" i="1" s="1"/>
  <c r="LM22" i="1"/>
  <c r="LO22" i="1" s="1"/>
  <c r="DW22" i="1"/>
  <c r="DY22" i="1" s="1"/>
  <c r="KV22" i="1"/>
  <c r="KX22" i="1" s="1"/>
  <c r="DF22" i="1"/>
  <c r="DH22" i="1" s="1"/>
  <c r="KF22" i="1"/>
  <c r="KH22" i="1" s="1"/>
  <c r="CP22" i="1"/>
  <c r="CR22" i="1" s="1"/>
  <c r="JO22" i="1"/>
  <c r="JQ22" i="1" s="1"/>
  <c r="BY22" i="1"/>
  <c r="CA22" i="1" s="1"/>
  <c r="EM21" i="1"/>
  <c r="EO21" i="1" s="1"/>
  <c r="DW21" i="1"/>
  <c r="DY21" i="1" s="1"/>
  <c r="BY21" i="1"/>
  <c r="CA21" i="1" s="1"/>
  <c r="DF21" i="1"/>
  <c r="DH21" i="1" s="1"/>
  <c r="KF21" i="1"/>
  <c r="KH21" i="1" s="1"/>
  <c r="JO21" i="1"/>
  <c r="JQ21" i="1" s="1"/>
  <c r="AB21" i="1"/>
  <c r="AD21" i="1" s="1"/>
  <c r="LM21" i="1"/>
  <c r="LO21" i="1" s="1"/>
  <c r="AR21" i="1"/>
  <c r="AT21" i="1" s="1"/>
  <c r="IH21" i="1"/>
  <c r="IJ21" i="1" s="1"/>
  <c r="HA21" i="1"/>
  <c r="HC21" i="1" s="1"/>
  <c r="KV21" i="1"/>
  <c r="KX21" i="1" s="1"/>
  <c r="FT21" i="1"/>
  <c r="FV21" i="1" s="1"/>
  <c r="CP21" i="1"/>
  <c r="CR21" i="1" s="1"/>
  <c r="HR21" i="1"/>
  <c r="HT21" i="1" s="1"/>
  <c r="IY21" i="1"/>
  <c r="JA21" i="1" s="1"/>
  <c r="GK21" i="1"/>
  <c r="GM21" i="1" s="1"/>
  <c r="BI21" i="1"/>
  <c r="BK21" i="1" s="1"/>
  <c r="FD21" i="1"/>
  <c r="FF21" i="1" s="1"/>
  <c r="HR20" i="1"/>
  <c r="HT20" i="1" s="1"/>
  <c r="HA20" i="1"/>
  <c r="HC20" i="1" s="1"/>
  <c r="GK20" i="1"/>
  <c r="GM20" i="1" s="1"/>
  <c r="FT20" i="1"/>
  <c r="FV20" i="1" s="1"/>
  <c r="BY20" i="1"/>
  <c r="CA20" i="1" s="1"/>
  <c r="IH20" i="1"/>
  <c r="IJ20" i="1" s="1"/>
  <c r="AR20" i="1"/>
  <c r="AT20" i="1" s="1"/>
  <c r="AB20" i="1"/>
  <c r="AD20" i="1" s="1"/>
  <c r="FD20" i="1"/>
  <c r="FF20" i="1" s="1"/>
  <c r="LM20" i="1"/>
  <c r="LO20" i="1" s="1"/>
  <c r="EM20" i="1"/>
  <c r="EO20" i="1" s="1"/>
  <c r="KV20" i="1"/>
  <c r="KX20" i="1" s="1"/>
  <c r="DW20" i="1"/>
  <c r="DY20" i="1" s="1"/>
  <c r="KF20" i="1"/>
  <c r="KH20" i="1" s="1"/>
  <c r="DF20" i="1"/>
  <c r="DH20" i="1" s="1"/>
  <c r="BI20" i="1"/>
  <c r="BK20" i="1" s="1"/>
  <c r="JO20" i="1"/>
  <c r="JQ20" i="1" s="1"/>
  <c r="KV19" i="1"/>
  <c r="KX19" i="1" s="1"/>
  <c r="DW19" i="1"/>
  <c r="DY19" i="1" s="1"/>
  <c r="KF19" i="1"/>
  <c r="KH19" i="1" s="1"/>
  <c r="DF19" i="1"/>
  <c r="DH19" i="1" s="1"/>
  <c r="JO19" i="1"/>
  <c r="JQ19" i="1" s="1"/>
  <c r="CP19" i="1"/>
  <c r="CR19" i="1" s="1"/>
  <c r="BI19" i="1"/>
  <c r="BK19" i="1" s="1"/>
  <c r="HR19" i="1"/>
  <c r="HT19" i="1" s="1"/>
  <c r="AR19" i="1"/>
  <c r="AT19" i="1" s="1"/>
  <c r="LM19" i="1"/>
  <c r="LO19" i="1" s="1"/>
  <c r="BY19" i="1"/>
  <c r="CA19" i="1" s="1"/>
  <c r="IH19" i="1"/>
  <c r="IJ19" i="1" s="1"/>
  <c r="HA19" i="1"/>
  <c r="HC19" i="1" s="1"/>
  <c r="FT19" i="1"/>
  <c r="FV19" i="1" s="1"/>
  <c r="FD19" i="1"/>
  <c r="FF19" i="1" s="1"/>
  <c r="IY19" i="1"/>
  <c r="JA19" i="1" s="1"/>
  <c r="GK19" i="1"/>
  <c r="GM19" i="1" s="1"/>
  <c r="DW18" i="1"/>
  <c r="DY18" i="1" s="1"/>
  <c r="DF18" i="1"/>
  <c r="DH18" i="1" s="1"/>
  <c r="BY18" i="1"/>
  <c r="CA18" i="1" s="1"/>
  <c r="LM18" i="1"/>
  <c r="LO18" i="1" s="1"/>
  <c r="FT18" i="1"/>
  <c r="FV18" i="1" s="1"/>
  <c r="KV18" i="1"/>
  <c r="KX18" i="1" s="1"/>
  <c r="HR18" i="1"/>
  <c r="HT18" i="1" s="1"/>
  <c r="KF18" i="1"/>
  <c r="KH18" i="1" s="1"/>
  <c r="IH18" i="1"/>
  <c r="IJ18" i="1" s="1"/>
  <c r="CP18" i="1"/>
  <c r="CR18" i="1" s="1"/>
  <c r="JO18" i="1"/>
  <c r="JQ18" i="1" s="1"/>
  <c r="AR18" i="1"/>
  <c r="AT18" i="1" s="1"/>
  <c r="IY18" i="1"/>
  <c r="JA18" i="1" s="1"/>
  <c r="AB18" i="1"/>
  <c r="AD18" i="1" s="1"/>
  <c r="HA18" i="1"/>
  <c r="HC18" i="1" s="1"/>
  <c r="FD18" i="1"/>
  <c r="FF18" i="1" s="1"/>
  <c r="GK18" i="1"/>
  <c r="GM18" i="1" s="1"/>
  <c r="BI18" i="1"/>
  <c r="BK18" i="1" s="1"/>
  <c r="EM18" i="1"/>
  <c r="EO18" i="1" s="1"/>
  <c r="KF17" i="1"/>
  <c r="KH17" i="1" s="1"/>
  <c r="JO17" i="1"/>
  <c r="JQ17" i="1" s="1"/>
  <c r="IY17" i="1"/>
  <c r="JA17" i="1" s="1"/>
  <c r="HR17" i="1"/>
  <c r="HT17" i="1" s="1"/>
  <c r="HA17" i="1"/>
  <c r="HC17" i="1" s="1"/>
  <c r="DW17" i="1"/>
  <c r="DY17" i="1" s="1"/>
  <c r="DF17" i="1"/>
  <c r="DH17" i="1" s="1"/>
  <c r="CP17" i="1"/>
  <c r="CR17" i="1" s="1"/>
  <c r="AR17" i="1"/>
  <c r="AT17" i="1" s="1"/>
  <c r="AB17" i="1"/>
  <c r="AD17" i="1" s="1"/>
  <c r="FT17" i="1"/>
  <c r="FV17" i="1" s="1"/>
  <c r="KV17" i="1"/>
  <c r="KX17" i="1" s="1"/>
  <c r="FD17" i="1"/>
  <c r="FF17" i="1" s="1"/>
  <c r="LM17" i="1"/>
  <c r="LO17" i="1" s="1"/>
  <c r="FD16" i="1"/>
  <c r="FF16" i="1" s="1"/>
  <c r="EM16" i="1"/>
  <c r="EO16" i="1" s="1"/>
  <c r="DW16" i="1"/>
  <c r="DY16" i="1" s="1"/>
  <c r="KF16" i="1"/>
  <c r="KH16" i="1" s="1"/>
  <c r="CP16" i="1"/>
  <c r="CR16" i="1" s="1"/>
  <c r="JO16" i="1"/>
  <c r="JQ16" i="1" s="1"/>
  <c r="BY16" i="1"/>
  <c r="CA16" i="1" s="1"/>
  <c r="IY16" i="1"/>
  <c r="JA16" i="1" s="1"/>
  <c r="BI16" i="1"/>
  <c r="BK16" i="1" s="1"/>
  <c r="LM16" i="1"/>
  <c r="LO16" i="1" s="1"/>
  <c r="KV16" i="1"/>
  <c r="KX16" i="1" s="1"/>
  <c r="AR16" i="1"/>
  <c r="AT16" i="1" s="1"/>
  <c r="IH16" i="1"/>
  <c r="IJ16" i="1" s="1"/>
  <c r="AB16" i="1"/>
  <c r="AD16" i="1" s="1"/>
  <c r="HR16" i="1"/>
  <c r="HT16" i="1" s="1"/>
  <c r="HA16" i="1"/>
  <c r="HC16" i="1" s="1"/>
  <c r="GK16" i="1"/>
  <c r="GM16" i="1" s="1"/>
  <c r="FT16" i="1"/>
  <c r="FV16" i="1" s="1"/>
  <c r="BY15" i="1"/>
  <c r="CA15" i="1" s="1"/>
  <c r="DF15" i="1"/>
  <c r="DH15" i="1" s="1"/>
  <c r="AR15" i="1"/>
  <c r="AT15" i="1" s="1"/>
  <c r="HA15" i="1"/>
  <c r="HC15" i="1" s="1"/>
  <c r="BI15" i="1"/>
  <c r="BK15" i="1" s="1"/>
  <c r="AB15" i="1"/>
  <c r="AD15" i="1" s="1"/>
  <c r="LM15" i="1"/>
  <c r="LO15" i="1" s="1"/>
  <c r="HR15" i="1"/>
  <c r="HT15" i="1" s="1"/>
  <c r="GK15" i="1"/>
  <c r="GM15" i="1" s="1"/>
  <c r="KV15" i="1"/>
  <c r="KX15" i="1" s="1"/>
  <c r="FT15" i="1"/>
  <c r="FV15" i="1" s="1"/>
  <c r="KF15" i="1"/>
  <c r="KH15" i="1" s="1"/>
  <c r="FD15" i="1"/>
  <c r="FF15" i="1" s="1"/>
  <c r="JO15" i="1"/>
  <c r="JQ15" i="1" s="1"/>
  <c r="IH15" i="1"/>
  <c r="IJ15" i="1" s="1"/>
  <c r="CP15" i="1"/>
  <c r="CR15" i="1" s="1"/>
  <c r="EM15" i="1"/>
  <c r="EO15" i="1" s="1"/>
  <c r="DW15" i="1"/>
  <c r="DY15" i="1" s="1"/>
  <c r="FD14" i="1"/>
  <c r="FF14" i="1" s="1"/>
  <c r="AB19" i="1"/>
  <c r="AD19" i="1" s="1"/>
  <c r="K15" i="1"/>
  <c r="M15" i="1" s="1"/>
  <c r="K16" i="1"/>
  <c r="M16" i="1" s="1"/>
  <c r="K18" i="1"/>
  <c r="M18" i="1" s="1"/>
  <c r="K20" i="1"/>
  <c r="M20" i="1" s="1"/>
  <c r="K21" i="1"/>
  <c r="M21" i="1" s="1"/>
  <c r="DF14" i="1" l="1"/>
  <c r="DH14" i="1" s="1"/>
  <c r="KF14" i="1"/>
  <c r="KH14" i="1" s="1"/>
</calcChain>
</file>

<file path=xl/sharedStrings.xml><?xml version="1.0" encoding="utf-8"?>
<sst xmlns="http://schemas.openxmlformats.org/spreadsheetml/2006/main" count="680" uniqueCount="33">
  <si>
    <t>Form 138-A</t>
  </si>
  <si>
    <t>LRN</t>
  </si>
  <si>
    <t>Republic of the Philippines</t>
  </si>
  <si>
    <t>CAVITE STATE UNIVERSITY NAIC</t>
  </si>
  <si>
    <t>(Formerly Cavite College of Fisheries)</t>
  </si>
  <si>
    <t>Bucana Malaki, Naic, Cavite</t>
  </si>
  <si>
    <t>SECONDARY REPORT CARD</t>
  </si>
  <si>
    <t>Name</t>
  </si>
  <si>
    <t>Age</t>
  </si>
  <si>
    <t>Sex</t>
  </si>
  <si>
    <t>Grade</t>
  </si>
  <si>
    <t>School Year</t>
  </si>
  <si>
    <t>Section</t>
  </si>
  <si>
    <t>SUBJECTS</t>
  </si>
  <si>
    <t>Final Rating</t>
  </si>
  <si>
    <t>Action Taken</t>
  </si>
  <si>
    <t>General Average</t>
  </si>
  <si>
    <t xml:space="preserve">GRADING  SYSTEM  USED:               AVERAGING                 </t>
  </si>
  <si>
    <t>TOTAL</t>
  </si>
  <si>
    <t>Days of School</t>
  </si>
  <si>
    <t>Days Present</t>
  </si>
  <si>
    <t>Times Tardy</t>
  </si>
  <si>
    <t xml:space="preserve">Eligible for transfer and admission to </t>
  </si>
  <si>
    <t>Has advanced units in</t>
  </si>
  <si>
    <t xml:space="preserve">Lacks units in </t>
  </si>
  <si>
    <t xml:space="preserve">Date </t>
  </si>
  <si>
    <t>Class Adviser</t>
  </si>
  <si>
    <t>Principal</t>
  </si>
  <si>
    <t>CANCELLATION OF TRANSFER ELIGIBILITY</t>
  </si>
  <si>
    <t xml:space="preserve">Has been admitted to </t>
  </si>
  <si>
    <t>Date</t>
  </si>
  <si>
    <t>Periodic Ratings</t>
  </si>
  <si>
    <r>
      <t>Curriculum</t>
    </r>
    <r>
      <rPr>
        <i/>
        <sz val="11"/>
        <color indexed="8"/>
        <rFont val="Aptos"/>
        <family val="2"/>
      </rPr>
      <t xml:space="preserve">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</si>
</sst>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scheme val="minor"/>
    </font>
    <font>
      <sz val="12"/>
      <color theme="1"/>
      <name val="Aptos"/>
      <family val="2"/>
    </font>
    <font>
      <sz val="10"/>
      <color theme="1"/>
      <name val="Aptos"/>
      <family val="2"/>
    </font>
    <font>
      <b/>
      <sz val="12"/>
      <color theme="1"/>
      <name val="Aptos"/>
      <family val="2"/>
    </font>
    <font>
      <sz val="11"/>
      <color rgb="FF000000"/>
      <name val="Aptos"/>
      <family val="2"/>
    </font>
    <font>
      <b/>
      <sz val="11"/>
      <color theme="1"/>
      <name val="Aptos"/>
      <family val="2"/>
    </font>
    <font>
      <b/>
      <sz val="14"/>
      <color rgb="FF000000"/>
      <name val="Aptos"/>
      <family val="2"/>
    </font>
    <font>
      <i/>
      <sz val="11"/>
      <color theme="1"/>
      <name val="Aptos"/>
      <family val="2"/>
    </font>
    <font>
      <b/>
      <i/>
      <sz val="11"/>
      <color theme="1"/>
      <name val="Aptos"/>
      <family val="2"/>
    </font>
    <font>
      <b/>
      <i/>
      <sz val="11"/>
      <color rgb="FF000000"/>
      <name val="Aptos"/>
      <family val="2"/>
    </font>
    <font>
      <b/>
      <i/>
      <sz val="11"/>
      <name val="Aptos"/>
      <family val="2"/>
    </font>
    <font>
      <sz val="11"/>
      <color theme="1"/>
      <name val="Aptos"/>
      <family val="2"/>
    </font>
    <font>
      <i/>
      <sz val="11"/>
      <color indexed="8"/>
      <name val="Aptos"/>
      <family val="2"/>
    </font>
    <font>
      <b/>
      <sz val="11"/>
      <name val="Aptos"/>
      <family val="2"/>
    </font>
    <font>
      <b/>
      <sz val="10"/>
      <name val="Aptos"/>
      <family val="2"/>
    </font>
    <font>
      <b/>
      <sz val="7"/>
      <name val="Aptos"/>
      <family val="2"/>
    </font>
    <font>
      <sz val="8"/>
      <color theme="1"/>
      <name val="Aptos"/>
      <family val="2"/>
    </font>
    <font>
      <b/>
      <sz val="16"/>
      <color theme="1"/>
      <name val="Aptos"/>
      <family val="2"/>
    </font>
    <font>
      <sz val="11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1" fontId="1" fillId="2" borderId="0" xfId="0" applyNumberFormat="1" applyFont="1" applyFill="1"/>
    <xf numFmtId="0" fontId="2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7" fillId="2" borderId="0" xfId="0" applyFont="1" applyFill="1"/>
    <xf numFmtId="0" fontId="10" fillId="2" borderId="1" xfId="0" applyFont="1" applyFill="1" applyBorder="1" applyAlignment="1">
      <alignment horizontal="center" wrapText="1"/>
    </xf>
    <xf numFmtId="0" fontId="11" fillId="2" borderId="0" xfId="0" applyFont="1" applyFill="1"/>
    <xf numFmtId="0" fontId="7" fillId="2" borderId="0" xfId="0" applyFont="1" applyFill="1" applyAlignment="1">
      <alignment horizontal="right"/>
    </xf>
    <xf numFmtId="0" fontId="7" fillId="2" borderId="0" xfId="0" applyFont="1" applyFill="1" applyAlignment="1">
      <alignment vertical="center"/>
    </xf>
    <xf numFmtId="0" fontId="13" fillId="2" borderId="0" xfId="0" applyFont="1" applyFill="1"/>
    <xf numFmtId="0" fontId="1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left" vertical="center"/>
    </xf>
    <xf numFmtId="1" fontId="1" fillId="2" borderId="3" xfId="0" applyNumberFormat="1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6" fillId="2" borderId="6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1" fontId="17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1" fillId="2" borderId="11" xfId="0" applyFont="1" applyFill="1" applyBorder="1" applyAlignment="1">
      <alignment horizontal="center" vertical="center" textRotation="90" wrapText="1"/>
    </xf>
    <xf numFmtId="0" fontId="11" fillId="2" borderId="3" xfId="0" applyFont="1" applyFill="1" applyBorder="1" applyAlignment="1">
      <alignment horizontal="center" vertical="center" textRotation="90" wrapText="1"/>
    </xf>
    <xf numFmtId="1" fontId="11" fillId="2" borderId="11" xfId="0" applyNumberFormat="1" applyFont="1" applyFill="1" applyBorder="1" applyAlignment="1">
      <alignment horizontal="center"/>
    </xf>
    <xf numFmtId="1" fontId="18" fillId="2" borderId="11" xfId="0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center"/>
    </xf>
    <xf numFmtId="0" fontId="7" fillId="2" borderId="0" xfId="0" applyFont="1" applyFill="1" applyAlignment="1">
      <alignment horizontal="left" vertical="center"/>
    </xf>
    <xf numFmtId="0" fontId="4" fillId="2" borderId="14" xfId="0" applyFont="1" applyFill="1" applyBorder="1"/>
    <xf numFmtId="0" fontId="1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16" fillId="2" borderId="10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1" fontId="17" fillId="2" borderId="2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16" fillId="2" borderId="10" xfId="0" applyFont="1" applyFill="1" applyBorder="1" applyAlignment="1">
      <alignment horizontal="left" vertical="center"/>
    </xf>
    <xf numFmtId="0" fontId="16" fillId="2" borderId="2" xfId="0" applyFont="1" applyFill="1" applyBorder="1" applyAlignment="1">
      <alignment horizontal="left" vertical="center"/>
    </xf>
    <xf numFmtId="0" fontId="16" fillId="2" borderId="11" xfId="0" applyFont="1" applyFill="1" applyBorder="1" applyAlignment="1">
      <alignment horizontal="left" vertical="center"/>
    </xf>
    <xf numFmtId="1" fontId="1" fillId="2" borderId="10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right"/>
    </xf>
    <xf numFmtId="0" fontId="13" fillId="2" borderId="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6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</xdr:row>
      <xdr:rowOff>38100</xdr:rowOff>
    </xdr:from>
    <xdr:to>
      <xdr:col>2</xdr:col>
      <xdr:colOff>457200</xdr:colOff>
      <xdr:row>4</xdr:row>
      <xdr:rowOff>180975</xdr:rowOff>
    </xdr:to>
    <xdr:pic>
      <xdr:nvPicPr>
        <xdr:cNvPr id="2" name="Graphics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6300" cy="847725"/>
        </a:xfrm>
        <a:prstGeom prst="rect">
          <a:avLst/>
        </a:prstGeom>
      </xdr:spPr>
    </xdr:pic>
    <xdr:clientData/>
  </xdr:twoCellAnchor>
  <xdr:twoCellAnchor>
    <xdr:from>
      <xdr:col>17</xdr:col>
      <xdr:colOff>304800</xdr:colOff>
      <xdr:row>1</xdr:row>
      <xdr:rowOff>38100</xdr:rowOff>
    </xdr:from>
    <xdr:to>
      <xdr:col>19</xdr:col>
      <xdr:colOff>457200</xdr:colOff>
      <xdr:row>4</xdr:row>
      <xdr:rowOff>180975</xdr:rowOff>
    </xdr:to>
    <xdr:pic>
      <xdr:nvPicPr>
        <xdr:cNvPr id="3" name="Graphics 3">
          <a:extLst>
            <a:ext uri="{FF2B5EF4-FFF2-40B4-BE49-F238E27FC236}">
              <a16:creationId xmlns:a16="http://schemas.microsoft.com/office/drawing/2014/main" id="{6960402D-9327-444A-8649-74AD42D8B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239183"/>
          <a:ext cx="842010" cy="741469"/>
        </a:xfrm>
        <a:prstGeom prst="rect">
          <a:avLst/>
        </a:prstGeom>
      </xdr:spPr>
    </xdr:pic>
    <xdr:clientData/>
  </xdr:twoCellAnchor>
  <xdr:twoCellAnchor>
    <xdr:from>
      <xdr:col>0</xdr:col>
      <xdr:colOff>302503</xdr:colOff>
      <xdr:row>1</xdr:row>
      <xdr:rowOff>36343</xdr:rowOff>
    </xdr:from>
    <xdr:to>
      <xdr:col>2</xdr:col>
      <xdr:colOff>455342</xdr:colOff>
      <xdr:row>4</xdr:row>
      <xdr:rowOff>181959</xdr:rowOff>
    </xdr:to>
    <xdr:pic>
      <xdr:nvPicPr>
        <xdr:cNvPr id="50" name="Graphics 3">
          <a:extLst>
            <a:ext uri="{FF2B5EF4-FFF2-40B4-BE49-F238E27FC236}">
              <a16:creationId xmlns:a16="http://schemas.microsoft.com/office/drawing/2014/main" id="{268FC1C4-54F2-4D02-B8D9-CD3C55C47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50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302503</xdr:colOff>
      <xdr:row>1</xdr:row>
      <xdr:rowOff>36343</xdr:rowOff>
    </xdr:from>
    <xdr:to>
      <xdr:col>19</xdr:col>
      <xdr:colOff>455342</xdr:colOff>
      <xdr:row>4</xdr:row>
      <xdr:rowOff>181959</xdr:rowOff>
    </xdr:to>
    <xdr:pic>
      <xdr:nvPicPr>
        <xdr:cNvPr id="51" name="Graphics 3">
          <a:extLst>
            <a:ext uri="{FF2B5EF4-FFF2-40B4-BE49-F238E27FC236}">
              <a16:creationId xmlns:a16="http://schemas.microsoft.com/office/drawing/2014/main" id="{2BC8DB69-C38B-40D4-B35A-3859745F4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620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33</xdr:col>
      <xdr:colOff>302503</xdr:colOff>
      <xdr:row>1</xdr:row>
      <xdr:rowOff>36343</xdr:rowOff>
    </xdr:from>
    <xdr:to>
      <xdr:col>35</xdr:col>
      <xdr:colOff>455342</xdr:colOff>
      <xdr:row>4</xdr:row>
      <xdr:rowOff>181959</xdr:rowOff>
    </xdr:to>
    <xdr:pic>
      <xdr:nvPicPr>
        <xdr:cNvPr id="52" name="Graphics 3">
          <a:extLst>
            <a:ext uri="{FF2B5EF4-FFF2-40B4-BE49-F238E27FC236}">
              <a16:creationId xmlns:a16="http://schemas.microsoft.com/office/drawing/2014/main" id="{944CA121-9E57-41F6-9CE5-5E8C912C5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5956" y="236869"/>
          <a:ext cx="874733" cy="819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50</xdr:col>
      <xdr:colOff>302503</xdr:colOff>
      <xdr:row>1</xdr:row>
      <xdr:rowOff>36343</xdr:rowOff>
    </xdr:from>
    <xdr:to>
      <xdr:col>52</xdr:col>
      <xdr:colOff>455342</xdr:colOff>
      <xdr:row>4</xdr:row>
      <xdr:rowOff>181959</xdr:rowOff>
    </xdr:to>
    <xdr:pic>
      <xdr:nvPicPr>
        <xdr:cNvPr id="53" name="Graphics 3">
          <a:extLst>
            <a:ext uri="{FF2B5EF4-FFF2-40B4-BE49-F238E27FC236}">
              <a16:creationId xmlns:a16="http://schemas.microsoft.com/office/drawing/2014/main" id="{90F37A4B-1CDB-4C1E-AA71-4851806B6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008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66</xdr:col>
      <xdr:colOff>302503</xdr:colOff>
      <xdr:row>1</xdr:row>
      <xdr:rowOff>36343</xdr:rowOff>
    </xdr:from>
    <xdr:to>
      <xdr:col>68</xdr:col>
      <xdr:colOff>455342</xdr:colOff>
      <xdr:row>4</xdr:row>
      <xdr:rowOff>181959</xdr:rowOff>
    </xdr:to>
    <xdr:pic>
      <xdr:nvPicPr>
        <xdr:cNvPr id="54" name="Graphics 3">
          <a:extLst>
            <a:ext uri="{FF2B5EF4-FFF2-40B4-BE49-F238E27FC236}">
              <a16:creationId xmlns:a16="http://schemas.microsoft.com/office/drawing/2014/main" id="{C823CCBB-C2AE-4A07-B28B-925987321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9026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83</xdr:col>
      <xdr:colOff>302503</xdr:colOff>
      <xdr:row>1</xdr:row>
      <xdr:rowOff>36343</xdr:rowOff>
    </xdr:from>
    <xdr:to>
      <xdr:col>85</xdr:col>
      <xdr:colOff>455342</xdr:colOff>
      <xdr:row>4</xdr:row>
      <xdr:rowOff>181959</xdr:rowOff>
    </xdr:to>
    <xdr:pic>
      <xdr:nvPicPr>
        <xdr:cNvPr id="55" name="Graphics 3">
          <a:extLst>
            <a:ext uri="{FF2B5EF4-FFF2-40B4-BE49-F238E27FC236}">
              <a16:creationId xmlns:a16="http://schemas.microsoft.com/office/drawing/2014/main" id="{2BDA67BB-F058-4E8F-8AEB-7D9377419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3396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99</xdr:col>
      <xdr:colOff>302503</xdr:colOff>
      <xdr:row>1</xdr:row>
      <xdr:rowOff>36343</xdr:rowOff>
    </xdr:from>
    <xdr:to>
      <xdr:col>101</xdr:col>
      <xdr:colOff>455342</xdr:colOff>
      <xdr:row>4</xdr:row>
      <xdr:rowOff>181959</xdr:rowOff>
    </xdr:to>
    <xdr:pic>
      <xdr:nvPicPr>
        <xdr:cNvPr id="56" name="Graphics 3">
          <a:extLst>
            <a:ext uri="{FF2B5EF4-FFF2-40B4-BE49-F238E27FC236}">
              <a16:creationId xmlns:a16="http://schemas.microsoft.com/office/drawing/2014/main" id="{44692EAC-9429-4C2A-A2BE-3ABF1F511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8414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116</xdr:col>
      <xdr:colOff>302503</xdr:colOff>
      <xdr:row>1</xdr:row>
      <xdr:rowOff>36343</xdr:rowOff>
    </xdr:from>
    <xdr:to>
      <xdr:col>118</xdr:col>
      <xdr:colOff>455342</xdr:colOff>
      <xdr:row>4</xdr:row>
      <xdr:rowOff>181959</xdr:rowOff>
    </xdr:to>
    <xdr:pic>
      <xdr:nvPicPr>
        <xdr:cNvPr id="57" name="Graphics 3">
          <a:extLst>
            <a:ext uri="{FF2B5EF4-FFF2-40B4-BE49-F238E27FC236}">
              <a16:creationId xmlns:a16="http://schemas.microsoft.com/office/drawing/2014/main" id="{779B1B9E-BC6A-4FE3-B7E7-76F46AA0C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2784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132</xdr:col>
      <xdr:colOff>302503</xdr:colOff>
      <xdr:row>1</xdr:row>
      <xdr:rowOff>36343</xdr:rowOff>
    </xdr:from>
    <xdr:to>
      <xdr:col>134</xdr:col>
      <xdr:colOff>455342</xdr:colOff>
      <xdr:row>4</xdr:row>
      <xdr:rowOff>181959</xdr:rowOff>
    </xdr:to>
    <xdr:pic>
      <xdr:nvPicPr>
        <xdr:cNvPr id="58" name="Graphics 3">
          <a:extLst>
            <a:ext uri="{FF2B5EF4-FFF2-40B4-BE49-F238E27FC236}">
              <a16:creationId xmlns:a16="http://schemas.microsoft.com/office/drawing/2014/main" id="{CEB4A829-A0E3-4C73-B0EC-D17DA86F7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7802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149</xdr:col>
      <xdr:colOff>302503</xdr:colOff>
      <xdr:row>1</xdr:row>
      <xdr:rowOff>36343</xdr:rowOff>
    </xdr:from>
    <xdr:to>
      <xdr:col>151</xdr:col>
      <xdr:colOff>455342</xdr:colOff>
      <xdr:row>4</xdr:row>
      <xdr:rowOff>181959</xdr:rowOff>
    </xdr:to>
    <xdr:pic>
      <xdr:nvPicPr>
        <xdr:cNvPr id="59" name="Graphics 3">
          <a:extLst>
            <a:ext uri="{FF2B5EF4-FFF2-40B4-BE49-F238E27FC236}">
              <a16:creationId xmlns:a16="http://schemas.microsoft.com/office/drawing/2014/main" id="{E721B617-BC9F-444A-AD6F-1C5DE6157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2172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165</xdr:col>
      <xdr:colOff>302503</xdr:colOff>
      <xdr:row>1</xdr:row>
      <xdr:rowOff>36343</xdr:rowOff>
    </xdr:from>
    <xdr:to>
      <xdr:col>167</xdr:col>
      <xdr:colOff>455342</xdr:colOff>
      <xdr:row>4</xdr:row>
      <xdr:rowOff>181959</xdr:rowOff>
    </xdr:to>
    <xdr:pic>
      <xdr:nvPicPr>
        <xdr:cNvPr id="60" name="Graphics 3">
          <a:extLst>
            <a:ext uri="{FF2B5EF4-FFF2-40B4-BE49-F238E27FC236}">
              <a16:creationId xmlns:a16="http://schemas.microsoft.com/office/drawing/2014/main" id="{0C7BCA15-9C83-4710-8F0E-7D0751B57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7190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182</xdr:col>
      <xdr:colOff>302503</xdr:colOff>
      <xdr:row>1</xdr:row>
      <xdr:rowOff>36343</xdr:rowOff>
    </xdr:from>
    <xdr:to>
      <xdr:col>184</xdr:col>
      <xdr:colOff>455342</xdr:colOff>
      <xdr:row>4</xdr:row>
      <xdr:rowOff>181959</xdr:rowOff>
    </xdr:to>
    <xdr:pic>
      <xdr:nvPicPr>
        <xdr:cNvPr id="61" name="Graphics 3">
          <a:extLst>
            <a:ext uri="{FF2B5EF4-FFF2-40B4-BE49-F238E27FC236}">
              <a16:creationId xmlns:a16="http://schemas.microsoft.com/office/drawing/2014/main" id="{93122D94-F7D2-40CA-B8E6-BF3535F6F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1560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198</xdr:col>
      <xdr:colOff>302503</xdr:colOff>
      <xdr:row>1</xdr:row>
      <xdr:rowOff>36343</xdr:rowOff>
    </xdr:from>
    <xdr:to>
      <xdr:col>200</xdr:col>
      <xdr:colOff>455342</xdr:colOff>
      <xdr:row>4</xdr:row>
      <xdr:rowOff>181959</xdr:rowOff>
    </xdr:to>
    <xdr:pic>
      <xdr:nvPicPr>
        <xdr:cNvPr id="62" name="Graphics 3">
          <a:extLst>
            <a:ext uri="{FF2B5EF4-FFF2-40B4-BE49-F238E27FC236}">
              <a16:creationId xmlns:a16="http://schemas.microsoft.com/office/drawing/2014/main" id="{7CB1C1FE-CD9C-4B16-827A-7BAA7CAF3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6578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215</xdr:col>
      <xdr:colOff>302503</xdr:colOff>
      <xdr:row>1</xdr:row>
      <xdr:rowOff>36343</xdr:rowOff>
    </xdr:from>
    <xdr:to>
      <xdr:col>217</xdr:col>
      <xdr:colOff>455342</xdr:colOff>
      <xdr:row>4</xdr:row>
      <xdr:rowOff>181959</xdr:rowOff>
    </xdr:to>
    <xdr:pic>
      <xdr:nvPicPr>
        <xdr:cNvPr id="63" name="Graphics 3">
          <a:extLst>
            <a:ext uri="{FF2B5EF4-FFF2-40B4-BE49-F238E27FC236}">
              <a16:creationId xmlns:a16="http://schemas.microsoft.com/office/drawing/2014/main" id="{1A86642E-E9CF-4A07-BDD5-4D4A6266F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0948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231</xdr:col>
      <xdr:colOff>302503</xdr:colOff>
      <xdr:row>1</xdr:row>
      <xdr:rowOff>36343</xdr:rowOff>
    </xdr:from>
    <xdr:to>
      <xdr:col>233</xdr:col>
      <xdr:colOff>455342</xdr:colOff>
      <xdr:row>4</xdr:row>
      <xdr:rowOff>181959</xdr:rowOff>
    </xdr:to>
    <xdr:pic>
      <xdr:nvPicPr>
        <xdr:cNvPr id="64" name="Graphics 3">
          <a:extLst>
            <a:ext uri="{FF2B5EF4-FFF2-40B4-BE49-F238E27FC236}">
              <a16:creationId xmlns:a16="http://schemas.microsoft.com/office/drawing/2014/main" id="{600DB781-1E21-4212-AAB1-31788EB00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5966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248</xdr:col>
      <xdr:colOff>302503</xdr:colOff>
      <xdr:row>1</xdr:row>
      <xdr:rowOff>36343</xdr:rowOff>
    </xdr:from>
    <xdr:to>
      <xdr:col>250</xdr:col>
      <xdr:colOff>455342</xdr:colOff>
      <xdr:row>4</xdr:row>
      <xdr:rowOff>181959</xdr:rowOff>
    </xdr:to>
    <xdr:pic>
      <xdr:nvPicPr>
        <xdr:cNvPr id="65" name="Graphics 3">
          <a:extLst>
            <a:ext uri="{FF2B5EF4-FFF2-40B4-BE49-F238E27FC236}">
              <a16:creationId xmlns:a16="http://schemas.microsoft.com/office/drawing/2014/main" id="{CC36EC2C-B42B-470F-AADD-873FA4D2B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0336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264</xdr:col>
      <xdr:colOff>302503</xdr:colOff>
      <xdr:row>1</xdr:row>
      <xdr:rowOff>36343</xdr:rowOff>
    </xdr:from>
    <xdr:to>
      <xdr:col>266</xdr:col>
      <xdr:colOff>455342</xdr:colOff>
      <xdr:row>4</xdr:row>
      <xdr:rowOff>181959</xdr:rowOff>
    </xdr:to>
    <xdr:pic>
      <xdr:nvPicPr>
        <xdr:cNvPr id="66" name="Graphics 3">
          <a:extLst>
            <a:ext uri="{FF2B5EF4-FFF2-40B4-BE49-F238E27FC236}">
              <a16:creationId xmlns:a16="http://schemas.microsoft.com/office/drawing/2014/main" id="{8493DFEE-4CDD-4253-907B-B7AF36873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5354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281</xdr:col>
      <xdr:colOff>302503</xdr:colOff>
      <xdr:row>1</xdr:row>
      <xdr:rowOff>36343</xdr:rowOff>
    </xdr:from>
    <xdr:to>
      <xdr:col>283</xdr:col>
      <xdr:colOff>455342</xdr:colOff>
      <xdr:row>4</xdr:row>
      <xdr:rowOff>181959</xdr:rowOff>
    </xdr:to>
    <xdr:pic>
      <xdr:nvPicPr>
        <xdr:cNvPr id="67" name="Graphics 3">
          <a:extLst>
            <a:ext uri="{FF2B5EF4-FFF2-40B4-BE49-F238E27FC236}">
              <a16:creationId xmlns:a16="http://schemas.microsoft.com/office/drawing/2014/main" id="{92143EC0-C6CE-4B88-912E-F9CB8202D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9724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297</xdr:col>
      <xdr:colOff>302503</xdr:colOff>
      <xdr:row>1</xdr:row>
      <xdr:rowOff>36343</xdr:rowOff>
    </xdr:from>
    <xdr:to>
      <xdr:col>299</xdr:col>
      <xdr:colOff>455342</xdr:colOff>
      <xdr:row>4</xdr:row>
      <xdr:rowOff>181959</xdr:rowOff>
    </xdr:to>
    <xdr:pic>
      <xdr:nvPicPr>
        <xdr:cNvPr id="68" name="Graphics 3">
          <a:extLst>
            <a:ext uri="{FF2B5EF4-FFF2-40B4-BE49-F238E27FC236}">
              <a16:creationId xmlns:a16="http://schemas.microsoft.com/office/drawing/2014/main" id="{F6A10133-552D-4296-A3EE-73A3839AB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4742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  <xdr:twoCellAnchor>
    <xdr:from>
      <xdr:col>314</xdr:col>
      <xdr:colOff>302503</xdr:colOff>
      <xdr:row>1</xdr:row>
      <xdr:rowOff>36343</xdr:rowOff>
    </xdr:from>
    <xdr:to>
      <xdr:col>316</xdr:col>
      <xdr:colOff>455342</xdr:colOff>
      <xdr:row>4</xdr:row>
      <xdr:rowOff>181959</xdr:rowOff>
    </xdr:to>
    <xdr:pic>
      <xdr:nvPicPr>
        <xdr:cNvPr id="69" name="Graphics 3">
          <a:extLst>
            <a:ext uri="{FF2B5EF4-FFF2-40B4-BE49-F238E27FC236}">
              <a16:creationId xmlns:a16="http://schemas.microsoft.com/office/drawing/2014/main" id="{086EADB4-37C0-468B-8379-D4040C48E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12000" contrast="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91123" y="234463"/>
          <a:ext cx="876739" cy="816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ian%20Morgan\Downloads\LSHS_CGS_10Agoho.xlsx" TargetMode="External"/><Relationship Id="rId1" Type="http://schemas.openxmlformats.org/officeDocument/2006/relationships/externalLinkPath" Target="/Users/Kian%20Morgan/Downloads/LSHS_CGS_10Agoh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CARD"/>
      <sheetName val="1Q"/>
      <sheetName val="2Q"/>
      <sheetName val="3Q"/>
      <sheetName val="4Q"/>
      <sheetName val="Q"/>
      <sheetName val="CERT"/>
      <sheetName val="CERTGEN"/>
      <sheetName val="F1"/>
      <sheetName val="F2"/>
      <sheetName val="SUMMARY (2)"/>
    </sheetNames>
    <sheetDataSet>
      <sheetData sheetId="0">
        <row r="1">
          <cell r="A1">
            <v>10</v>
          </cell>
          <cell r="B1" t="str">
            <v>Agoho</v>
          </cell>
          <cell r="C1" t="str">
            <v>Science</v>
          </cell>
          <cell r="D1" t="str">
            <v>2024-2025</v>
          </cell>
          <cell r="F1" t="str">
            <v>Filipino</v>
          </cell>
          <cell r="J1">
            <v>4</v>
          </cell>
          <cell r="K1" t="str">
            <v xml:space="preserve">English </v>
          </cell>
          <cell r="O1">
            <v>4</v>
          </cell>
          <cell r="P1" t="str">
            <v xml:space="preserve">Mathematics </v>
          </cell>
          <cell r="T1">
            <v>6</v>
          </cell>
          <cell r="U1" t="str">
            <v xml:space="preserve">Science </v>
          </cell>
          <cell r="Y1">
            <v>5</v>
          </cell>
          <cell r="Z1" t="str">
            <v xml:space="preserve">Araling Panlipunan </v>
          </cell>
          <cell r="AD1">
            <v>4</v>
          </cell>
          <cell r="AE1" t="str">
            <v>Technology and Livelihood Education</v>
          </cell>
          <cell r="AI1">
            <v>4</v>
          </cell>
          <cell r="AJ1" t="str">
            <v xml:space="preserve">Music, Arts, PE and Health </v>
          </cell>
          <cell r="AN1">
            <v>4</v>
          </cell>
          <cell r="AO1" t="str">
            <v>Edukasyon sa Pagpapakatao</v>
          </cell>
          <cell r="AS1">
            <v>4</v>
          </cell>
          <cell r="AT1" t="str">
            <v>Advanced Biology</v>
          </cell>
          <cell r="AX1"/>
          <cell r="AY1" t="str">
            <v xml:space="preserve">Research </v>
          </cell>
          <cell r="BC1">
            <v>3</v>
          </cell>
        </row>
        <row r="3">
          <cell r="BI3" t="str">
            <v>Jul</v>
          </cell>
          <cell r="BJ3" t="str">
            <v>Aug</v>
          </cell>
          <cell r="BK3" t="str">
            <v>Sep</v>
          </cell>
          <cell r="BL3" t="str">
            <v>Oct</v>
          </cell>
          <cell r="BM3" t="str">
            <v>Nov</v>
          </cell>
          <cell r="BN3" t="str">
            <v>Dec</v>
          </cell>
          <cell r="BO3" t="str">
            <v>Jan</v>
          </cell>
          <cell r="BP3" t="str">
            <v>Feb</v>
          </cell>
          <cell r="BQ3" t="str">
            <v>Mar</v>
          </cell>
          <cell r="BR3" t="str">
            <v>Apr</v>
          </cell>
          <cell r="BS3"/>
          <cell r="BT3"/>
        </row>
        <row r="4">
          <cell r="B4" t="str">
            <v>Anglo, Dranreb Eirrol Nicdao</v>
          </cell>
          <cell r="C4" t="str">
            <v>108065140001</v>
          </cell>
          <cell r="D4" t="str">
            <v>Male</v>
          </cell>
          <cell r="E4" t="str">
            <v xml:space="preserve">15 </v>
          </cell>
          <cell r="BI4">
            <v>4</v>
          </cell>
          <cell r="BJ4">
            <v>19</v>
          </cell>
          <cell r="BK4">
            <v>21</v>
          </cell>
          <cell r="BL4"/>
          <cell r="BM4"/>
          <cell r="BN4"/>
          <cell r="BO4"/>
          <cell r="BP4"/>
          <cell r="BQ4"/>
          <cell r="BR4"/>
          <cell r="BS4"/>
          <cell r="BT4"/>
          <cell r="BV4">
            <v>0</v>
          </cell>
          <cell r="BW4">
            <v>0</v>
          </cell>
          <cell r="BX4">
            <v>0</v>
          </cell>
          <cell r="BY4"/>
          <cell r="BZ4"/>
          <cell r="CA4"/>
          <cell r="CB4"/>
          <cell r="CC4"/>
          <cell r="CD4"/>
          <cell r="CE4"/>
          <cell r="CF4"/>
          <cell r="CG4"/>
          <cell r="CI4"/>
          <cell r="CJ4"/>
          <cell r="CK4"/>
          <cell r="CL4"/>
        </row>
        <row r="5">
          <cell r="B5" t="str">
            <v>Cailao, Iñigo Rafael Mascardo</v>
          </cell>
          <cell r="C5" t="str">
            <v>108064150089</v>
          </cell>
          <cell r="D5" t="str">
            <v>Male</v>
          </cell>
          <cell r="E5" t="str">
            <v xml:space="preserve">14 </v>
          </cell>
          <cell r="BI5">
            <v>4</v>
          </cell>
          <cell r="BJ5">
            <v>19</v>
          </cell>
          <cell r="BK5">
            <v>21</v>
          </cell>
          <cell r="BL5"/>
          <cell r="BM5"/>
          <cell r="BN5"/>
          <cell r="BO5"/>
          <cell r="BP5"/>
          <cell r="BQ5"/>
          <cell r="BR5"/>
          <cell r="BS5"/>
          <cell r="BT5"/>
          <cell r="BV5">
            <v>0</v>
          </cell>
          <cell r="BW5">
            <v>0</v>
          </cell>
          <cell r="BX5">
            <v>1</v>
          </cell>
          <cell r="BY5"/>
          <cell r="BZ5"/>
          <cell r="CA5"/>
          <cell r="CB5"/>
          <cell r="CC5"/>
          <cell r="CD5"/>
          <cell r="CE5"/>
          <cell r="CF5"/>
          <cell r="CG5"/>
          <cell r="CI5"/>
          <cell r="CJ5"/>
          <cell r="CK5"/>
          <cell r="CL5"/>
        </row>
        <row r="6">
          <cell r="B6" t="str">
            <v>Franco, Kharl Dexter Laguardia</v>
          </cell>
          <cell r="C6" t="str">
            <v>108061140015</v>
          </cell>
          <cell r="D6" t="str">
            <v>Male</v>
          </cell>
          <cell r="E6" t="str">
            <v xml:space="preserve">15 </v>
          </cell>
          <cell r="BI6">
            <v>4</v>
          </cell>
          <cell r="BJ6">
            <v>19</v>
          </cell>
          <cell r="BK6">
            <v>21</v>
          </cell>
          <cell r="BL6"/>
          <cell r="BM6"/>
          <cell r="BN6"/>
          <cell r="BO6"/>
          <cell r="BP6"/>
          <cell r="BQ6"/>
          <cell r="BR6"/>
          <cell r="BS6"/>
          <cell r="BT6"/>
          <cell r="BV6">
            <v>0</v>
          </cell>
          <cell r="BW6">
            <v>0</v>
          </cell>
          <cell r="BX6">
            <v>1</v>
          </cell>
          <cell r="BY6"/>
          <cell r="BZ6"/>
          <cell r="CA6"/>
          <cell r="CB6"/>
          <cell r="CC6"/>
          <cell r="CD6"/>
          <cell r="CE6"/>
          <cell r="CF6"/>
          <cell r="CG6"/>
          <cell r="CI6"/>
          <cell r="CJ6"/>
          <cell r="CK6"/>
          <cell r="CL6"/>
        </row>
        <row r="7">
          <cell r="B7" t="str">
            <v>Igos, Segiro Aston Leau Ejanda</v>
          </cell>
          <cell r="C7" t="str">
            <v>402253150119</v>
          </cell>
          <cell r="D7" t="str">
            <v>Male</v>
          </cell>
          <cell r="E7" t="str">
            <v xml:space="preserve">15 </v>
          </cell>
          <cell r="BI7">
            <v>4</v>
          </cell>
          <cell r="BJ7">
            <v>19</v>
          </cell>
          <cell r="BK7">
            <v>21</v>
          </cell>
          <cell r="BL7"/>
          <cell r="BM7"/>
          <cell r="BN7"/>
          <cell r="BO7"/>
          <cell r="BP7"/>
          <cell r="BQ7"/>
          <cell r="BR7"/>
          <cell r="BS7"/>
          <cell r="BT7"/>
          <cell r="BV7">
            <v>0</v>
          </cell>
          <cell r="BW7">
            <v>0</v>
          </cell>
          <cell r="BX7">
            <v>1</v>
          </cell>
          <cell r="BY7"/>
          <cell r="BZ7"/>
          <cell r="CA7"/>
          <cell r="CB7"/>
          <cell r="CC7"/>
          <cell r="CD7"/>
          <cell r="CE7"/>
          <cell r="CF7"/>
          <cell r="CG7"/>
          <cell r="CI7"/>
          <cell r="CJ7"/>
          <cell r="CK7"/>
          <cell r="CL7"/>
        </row>
        <row r="8">
          <cell r="B8" t="str">
            <v>Luay, John Joseph Asuncion</v>
          </cell>
          <cell r="C8" t="str">
            <v>402253150121</v>
          </cell>
          <cell r="D8" t="str">
            <v>Male</v>
          </cell>
          <cell r="E8" t="str">
            <v xml:space="preserve">14 </v>
          </cell>
          <cell r="BI8">
            <v>4</v>
          </cell>
          <cell r="BJ8">
            <v>19</v>
          </cell>
          <cell r="BK8">
            <v>21</v>
          </cell>
          <cell r="BL8"/>
          <cell r="BM8"/>
          <cell r="BN8"/>
          <cell r="BO8"/>
          <cell r="BP8"/>
          <cell r="BQ8"/>
          <cell r="BR8"/>
          <cell r="BS8"/>
          <cell r="BT8"/>
          <cell r="BV8">
            <v>0</v>
          </cell>
          <cell r="BW8">
            <v>0</v>
          </cell>
          <cell r="BX8">
            <v>0</v>
          </cell>
          <cell r="BY8"/>
          <cell r="BZ8"/>
          <cell r="CA8"/>
          <cell r="CB8"/>
          <cell r="CC8"/>
          <cell r="CD8"/>
          <cell r="CE8"/>
          <cell r="CF8"/>
          <cell r="CG8"/>
          <cell r="CI8"/>
          <cell r="CJ8"/>
          <cell r="CK8"/>
          <cell r="CL8"/>
        </row>
        <row r="9">
          <cell r="B9" t="str">
            <v>Manguiat, Kier Gina</v>
          </cell>
          <cell r="C9" t="str">
            <v>108063140086</v>
          </cell>
          <cell r="D9" t="str">
            <v>Male</v>
          </cell>
          <cell r="E9" t="str">
            <v xml:space="preserve">14 </v>
          </cell>
          <cell r="BI9">
            <v>4</v>
          </cell>
          <cell r="BJ9">
            <v>19</v>
          </cell>
          <cell r="BK9">
            <v>21</v>
          </cell>
          <cell r="BL9"/>
          <cell r="BM9"/>
          <cell r="BN9"/>
          <cell r="BO9"/>
          <cell r="BP9"/>
          <cell r="BQ9"/>
          <cell r="BR9"/>
          <cell r="BS9"/>
          <cell r="BT9"/>
          <cell r="BV9">
            <v>0</v>
          </cell>
          <cell r="BW9">
            <v>0</v>
          </cell>
          <cell r="BX9">
            <v>0</v>
          </cell>
          <cell r="BY9"/>
          <cell r="BZ9"/>
          <cell r="CA9"/>
          <cell r="CB9"/>
          <cell r="CC9"/>
          <cell r="CD9"/>
          <cell r="CE9"/>
          <cell r="CF9"/>
          <cell r="CG9"/>
          <cell r="CI9"/>
          <cell r="CJ9"/>
          <cell r="CK9"/>
          <cell r="CL9"/>
        </row>
        <row r="10">
          <cell r="B10" t="str">
            <v>Mojica, Jamil</v>
          </cell>
          <cell r="C10" t="str">
            <v>108069140036</v>
          </cell>
          <cell r="D10" t="str">
            <v>Male</v>
          </cell>
          <cell r="E10" t="str">
            <v xml:space="preserve">15 </v>
          </cell>
          <cell r="BI10">
            <v>4</v>
          </cell>
          <cell r="BJ10">
            <v>19</v>
          </cell>
          <cell r="BK10">
            <v>21</v>
          </cell>
          <cell r="BL10"/>
          <cell r="BM10"/>
          <cell r="BN10"/>
          <cell r="BO10"/>
          <cell r="BP10"/>
          <cell r="BQ10"/>
          <cell r="BR10"/>
          <cell r="BS10"/>
          <cell r="BT10"/>
          <cell r="BV10">
            <v>0</v>
          </cell>
          <cell r="BW10">
            <v>0</v>
          </cell>
          <cell r="BX10">
            <v>0</v>
          </cell>
          <cell r="BY10"/>
          <cell r="BZ10"/>
          <cell r="CA10"/>
          <cell r="CB10"/>
          <cell r="CC10"/>
          <cell r="CD10"/>
          <cell r="CE10"/>
          <cell r="CF10"/>
          <cell r="CG10"/>
          <cell r="CI10"/>
          <cell r="CJ10"/>
          <cell r="CK10"/>
          <cell r="CL10"/>
        </row>
        <row r="11">
          <cell r="B11" t="str">
            <v>Periodico, John Mark Cabrera</v>
          </cell>
          <cell r="C11" t="str">
            <v>424263150106</v>
          </cell>
          <cell r="D11" t="str">
            <v>Male</v>
          </cell>
          <cell r="E11" t="str">
            <v xml:space="preserve">14 </v>
          </cell>
          <cell r="BI11">
            <v>4</v>
          </cell>
          <cell r="BJ11">
            <v>19</v>
          </cell>
          <cell r="BK11">
            <v>21</v>
          </cell>
          <cell r="BL11"/>
          <cell r="BM11"/>
          <cell r="BN11"/>
          <cell r="BO11"/>
          <cell r="BP11"/>
          <cell r="BQ11"/>
          <cell r="BR11"/>
          <cell r="BS11"/>
          <cell r="BT11"/>
          <cell r="BV11">
            <v>0</v>
          </cell>
          <cell r="BW11">
            <v>0</v>
          </cell>
          <cell r="BX11">
            <v>0</v>
          </cell>
          <cell r="BY11"/>
          <cell r="BZ11"/>
          <cell r="CA11"/>
          <cell r="CB11"/>
          <cell r="CC11"/>
          <cell r="CD11"/>
          <cell r="CE11"/>
          <cell r="CF11"/>
          <cell r="CG11"/>
          <cell r="CI11"/>
          <cell r="CJ11"/>
          <cell r="CK11"/>
          <cell r="CL11"/>
        </row>
        <row r="12">
          <cell r="B12" t="str">
            <v>Ragudo, Rogson Eauriel Pugay</v>
          </cell>
          <cell r="C12" t="str">
            <v>108187140142</v>
          </cell>
          <cell r="D12" t="str">
            <v>Male</v>
          </cell>
          <cell r="E12" t="str">
            <v xml:space="preserve">15 </v>
          </cell>
          <cell r="BI12">
            <v>4</v>
          </cell>
          <cell r="BJ12">
            <v>19</v>
          </cell>
          <cell r="BK12">
            <v>21</v>
          </cell>
          <cell r="BL12"/>
          <cell r="BM12"/>
          <cell r="BN12"/>
          <cell r="BO12"/>
          <cell r="BP12"/>
          <cell r="BQ12"/>
          <cell r="BR12"/>
          <cell r="BS12"/>
          <cell r="BT12"/>
          <cell r="BV12">
            <v>0</v>
          </cell>
          <cell r="BW12">
            <v>0</v>
          </cell>
          <cell r="BX12">
            <v>1</v>
          </cell>
          <cell r="BY12"/>
          <cell r="BZ12"/>
          <cell r="CA12"/>
          <cell r="CB12"/>
          <cell r="CC12"/>
          <cell r="CD12"/>
          <cell r="CE12"/>
          <cell r="CF12"/>
          <cell r="CG12"/>
          <cell r="CI12"/>
          <cell r="CJ12"/>
          <cell r="CK12"/>
          <cell r="CL12"/>
        </row>
        <row r="13">
          <cell r="B13" t="str">
            <v>Avilla, Zamantha Kaye Caldito</v>
          </cell>
          <cell r="C13" t="str">
            <v>108078140001</v>
          </cell>
          <cell r="D13" t="str">
            <v>Female</v>
          </cell>
          <cell r="E13" t="str">
            <v xml:space="preserve">15 </v>
          </cell>
          <cell r="BI13">
            <v>4</v>
          </cell>
          <cell r="BJ13">
            <v>19</v>
          </cell>
          <cell r="BK13">
            <v>21</v>
          </cell>
          <cell r="BL13"/>
          <cell r="BM13"/>
          <cell r="BN13"/>
          <cell r="BO13"/>
          <cell r="BP13"/>
          <cell r="BQ13"/>
          <cell r="BR13"/>
          <cell r="BS13"/>
          <cell r="BT13"/>
          <cell r="BV13">
            <v>0</v>
          </cell>
          <cell r="BW13">
            <v>0</v>
          </cell>
          <cell r="BX13">
            <v>0</v>
          </cell>
          <cell r="BY13"/>
          <cell r="BZ13"/>
          <cell r="CA13"/>
          <cell r="CB13"/>
          <cell r="CC13"/>
          <cell r="CD13"/>
          <cell r="CE13"/>
          <cell r="CF13"/>
          <cell r="CG13"/>
          <cell r="CI13"/>
          <cell r="CJ13"/>
          <cell r="CK13"/>
          <cell r="CL13"/>
        </row>
        <row r="14">
          <cell r="B14" t="str">
            <v>Baldisimo, Antonette Saike Loyola</v>
          </cell>
          <cell r="C14" t="str">
            <v>108043140172</v>
          </cell>
          <cell r="D14" t="str">
            <v>Female</v>
          </cell>
          <cell r="E14" t="str">
            <v xml:space="preserve">15 </v>
          </cell>
          <cell r="BI14">
            <v>4</v>
          </cell>
          <cell r="BJ14">
            <v>19</v>
          </cell>
          <cell r="BK14">
            <v>21</v>
          </cell>
          <cell r="BL14"/>
          <cell r="BM14"/>
          <cell r="BN14"/>
          <cell r="BO14"/>
          <cell r="BP14"/>
          <cell r="BQ14"/>
          <cell r="BR14"/>
          <cell r="BS14"/>
          <cell r="BT14"/>
          <cell r="BV14">
            <v>0</v>
          </cell>
          <cell r="BW14">
            <v>0</v>
          </cell>
          <cell r="BX14">
            <v>1</v>
          </cell>
          <cell r="BY14"/>
          <cell r="BZ14"/>
          <cell r="CA14"/>
          <cell r="CB14"/>
          <cell r="CC14"/>
          <cell r="CD14"/>
          <cell r="CE14"/>
          <cell r="CF14"/>
          <cell r="CG14"/>
          <cell r="CI14"/>
          <cell r="CJ14"/>
          <cell r="CK14"/>
          <cell r="CL14"/>
        </row>
        <row r="15">
          <cell r="B15" t="str">
            <v>Balmaceda, Rhiann Mateo</v>
          </cell>
          <cell r="C15" t="str">
            <v>107945140116</v>
          </cell>
          <cell r="D15" t="str">
            <v>Female</v>
          </cell>
          <cell r="E15" t="str">
            <v xml:space="preserve">15 </v>
          </cell>
          <cell r="BI15">
            <v>4</v>
          </cell>
          <cell r="BJ15">
            <v>19</v>
          </cell>
          <cell r="BK15">
            <v>21</v>
          </cell>
          <cell r="BL15"/>
          <cell r="BM15"/>
          <cell r="BN15"/>
          <cell r="BO15"/>
          <cell r="BP15"/>
          <cell r="BQ15"/>
          <cell r="BR15"/>
          <cell r="BS15"/>
          <cell r="BT15"/>
          <cell r="BV15">
            <v>0</v>
          </cell>
          <cell r="BW15">
            <v>0</v>
          </cell>
          <cell r="BX15">
            <v>0</v>
          </cell>
          <cell r="BY15"/>
          <cell r="BZ15"/>
          <cell r="CA15"/>
          <cell r="CB15"/>
          <cell r="CC15"/>
          <cell r="CD15"/>
          <cell r="CE15"/>
          <cell r="CF15"/>
          <cell r="CG15"/>
          <cell r="CI15"/>
          <cell r="CJ15"/>
          <cell r="CK15"/>
        </row>
        <row r="16">
          <cell r="B16" t="str">
            <v>Benitez, Iriah Hinahon</v>
          </cell>
          <cell r="C16" t="str">
            <v>108068150005</v>
          </cell>
          <cell r="D16" t="str">
            <v>Female</v>
          </cell>
          <cell r="E16" t="str">
            <v xml:space="preserve">15 </v>
          </cell>
          <cell r="BI16">
            <v>4</v>
          </cell>
          <cell r="BJ16">
            <v>19</v>
          </cell>
          <cell r="BK16">
            <v>21</v>
          </cell>
          <cell r="BL16"/>
          <cell r="BM16"/>
          <cell r="BN16"/>
          <cell r="BO16"/>
          <cell r="BP16"/>
          <cell r="BQ16"/>
          <cell r="BR16"/>
          <cell r="BS16"/>
          <cell r="BT16"/>
          <cell r="BV16">
            <v>0</v>
          </cell>
          <cell r="BW16">
            <v>0</v>
          </cell>
          <cell r="BX16">
            <v>0</v>
          </cell>
          <cell r="BY16"/>
          <cell r="BZ16"/>
          <cell r="CA16"/>
          <cell r="CB16"/>
          <cell r="CC16"/>
          <cell r="CD16"/>
          <cell r="CE16"/>
          <cell r="CF16"/>
          <cell r="CG16"/>
          <cell r="CI16"/>
          <cell r="CJ16"/>
          <cell r="CK16"/>
          <cell r="CL16"/>
        </row>
        <row r="17">
          <cell r="B17" t="str">
            <v>Cea, Cassandra Lorraine Cueno</v>
          </cell>
          <cell r="C17" t="str">
            <v>108076140100</v>
          </cell>
          <cell r="D17" t="str">
            <v>Female</v>
          </cell>
          <cell r="E17" t="str">
            <v xml:space="preserve">15 </v>
          </cell>
          <cell r="BI17">
            <v>4</v>
          </cell>
          <cell r="BJ17">
            <v>19</v>
          </cell>
          <cell r="BK17">
            <v>21</v>
          </cell>
          <cell r="BL17"/>
          <cell r="BM17"/>
          <cell r="BN17"/>
          <cell r="BO17"/>
          <cell r="BP17"/>
          <cell r="BQ17"/>
          <cell r="BR17"/>
          <cell r="BS17"/>
          <cell r="BT17"/>
          <cell r="BV17">
            <v>0</v>
          </cell>
          <cell r="BW17">
            <v>0</v>
          </cell>
          <cell r="BX17">
            <v>0</v>
          </cell>
          <cell r="BY17"/>
          <cell r="BZ17"/>
          <cell r="CA17"/>
          <cell r="CB17"/>
          <cell r="CC17"/>
          <cell r="CD17"/>
          <cell r="CE17"/>
          <cell r="CF17"/>
          <cell r="CG17"/>
          <cell r="CI17"/>
          <cell r="CJ17"/>
          <cell r="CK17"/>
          <cell r="CL17"/>
        </row>
        <row r="18">
          <cell r="B18" t="str">
            <v>Erni, Queen Sarah Tenerepe</v>
          </cell>
          <cell r="C18" t="str">
            <v>108077140411</v>
          </cell>
          <cell r="D18" t="str">
            <v>Female</v>
          </cell>
          <cell r="E18" t="str">
            <v xml:space="preserve">15 </v>
          </cell>
          <cell r="BI18">
            <v>4</v>
          </cell>
          <cell r="BJ18">
            <v>19</v>
          </cell>
          <cell r="BK18">
            <v>21</v>
          </cell>
          <cell r="BL18"/>
          <cell r="BM18"/>
          <cell r="BN18"/>
          <cell r="BO18"/>
          <cell r="BP18"/>
          <cell r="BQ18"/>
          <cell r="BR18"/>
          <cell r="BS18"/>
          <cell r="BT18"/>
          <cell r="CI18"/>
          <cell r="CJ18"/>
          <cell r="CK18"/>
          <cell r="CL18"/>
        </row>
        <row r="19">
          <cell r="B19" t="str">
            <v>Hermac, Kim Dyzenne Estrella</v>
          </cell>
          <cell r="C19" t="str">
            <v>108064140027</v>
          </cell>
          <cell r="D19" t="str">
            <v>Female</v>
          </cell>
          <cell r="E19" t="str">
            <v xml:space="preserve">15 </v>
          </cell>
          <cell r="BI19">
            <v>4</v>
          </cell>
          <cell r="BJ19">
            <v>19</v>
          </cell>
          <cell r="BK19">
            <v>21</v>
          </cell>
          <cell r="BL19"/>
          <cell r="BM19"/>
          <cell r="BN19"/>
          <cell r="BO19"/>
          <cell r="BP19"/>
          <cell r="BQ19"/>
          <cell r="BR19"/>
          <cell r="BS19"/>
          <cell r="BT19"/>
          <cell r="BV19">
            <v>0</v>
          </cell>
          <cell r="BW19">
            <v>0</v>
          </cell>
          <cell r="BX19">
            <v>0</v>
          </cell>
          <cell r="BY19"/>
          <cell r="BZ19"/>
          <cell r="CA19"/>
          <cell r="CB19"/>
          <cell r="CC19"/>
          <cell r="CD19"/>
          <cell r="CE19"/>
          <cell r="CF19"/>
          <cell r="CG19"/>
          <cell r="CI19"/>
          <cell r="CJ19"/>
          <cell r="CK19"/>
          <cell r="CL19"/>
        </row>
        <row r="20">
          <cell r="B20" t="str">
            <v>Hernandez, Shamiah Campos</v>
          </cell>
          <cell r="C20" t="str">
            <v>424263150115</v>
          </cell>
          <cell r="D20" t="str">
            <v>Female</v>
          </cell>
          <cell r="E20" t="str">
            <v xml:space="preserve">15 </v>
          </cell>
          <cell r="BI20">
            <v>4</v>
          </cell>
          <cell r="BJ20">
            <v>19</v>
          </cell>
          <cell r="BK20">
            <v>21</v>
          </cell>
          <cell r="BL20"/>
          <cell r="BM20"/>
          <cell r="BN20"/>
          <cell r="BO20"/>
          <cell r="BP20"/>
          <cell r="BQ20"/>
          <cell r="BR20"/>
          <cell r="BS20"/>
          <cell r="BT20"/>
          <cell r="BV20">
            <v>0</v>
          </cell>
          <cell r="BW20">
            <v>0</v>
          </cell>
          <cell r="BX20">
            <v>0</v>
          </cell>
          <cell r="BY20"/>
          <cell r="BZ20"/>
          <cell r="CA20"/>
          <cell r="CB20"/>
          <cell r="CC20"/>
          <cell r="CD20"/>
          <cell r="CE20"/>
          <cell r="CF20"/>
          <cell r="CG20"/>
          <cell r="CI20"/>
          <cell r="CJ20"/>
          <cell r="CK20"/>
          <cell r="CL20"/>
        </row>
        <row r="21">
          <cell r="B21" t="str">
            <v>Lazaga, Morian Loise Escolta</v>
          </cell>
          <cell r="C21" t="str">
            <v>108061140044</v>
          </cell>
          <cell r="D21" t="str">
            <v>Female</v>
          </cell>
          <cell r="E21" t="str">
            <v xml:space="preserve">14 </v>
          </cell>
          <cell r="BI21">
            <v>4</v>
          </cell>
          <cell r="BJ21">
            <v>19</v>
          </cell>
          <cell r="BK21">
            <v>21</v>
          </cell>
          <cell r="BL21"/>
          <cell r="BM21"/>
          <cell r="BN21"/>
          <cell r="BO21"/>
          <cell r="BP21"/>
          <cell r="BQ21"/>
          <cell r="BR21"/>
          <cell r="BS21"/>
          <cell r="BT21"/>
          <cell r="BV21">
            <v>0</v>
          </cell>
          <cell r="BW21">
            <v>0</v>
          </cell>
          <cell r="BX21">
            <v>0</v>
          </cell>
          <cell r="BY21"/>
          <cell r="BZ21"/>
          <cell r="CA21"/>
          <cell r="CB21"/>
          <cell r="CC21"/>
          <cell r="CD21"/>
          <cell r="CE21"/>
          <cell r="CF21"/>
          <cell r="CG21"/>
          <cell r="CI21"/>
          <cell r="CJ21"/>
          <cell r="CK21"/>
          <cell r="CL21"/>
        </row>
        <row r="22">
          <cell r="B22" t="str">
            <v>Nazareno, Allaina Lacson</v>
          </cell>
          <cell r="C22" t="str">
            <v>402243150168</v>
          </cell>
          <cell r="D22" t="str">
            <v>Female</v>
          </cell>
          <cell r="E22" t="str">
            <v xml:space="preserve">14 </v>
          </cell>
          <cell r="BI22">
            <v>4</v>
          </cell>
          <cell r="BJ22">
            <v>19</v>
          </cell>
          <cell r="BK22">
            <v>21</v>
          </cell>
          <cell r="BL22"/>
          <cell r="BM22"/>
          <cell r="BN22"/>
          <cell r="BO22"/>
          <cell r="BP22"/>
          <cell r="BQ22"/>
          <cell r="BR22"/>
          <cell r="BS22"/>
          <cell r="BT22"/>
          <cell r="BV22">
            <v>0</v>
          </cell>
          <cell r="BW22">
            <v>0</v>
          </cell>
          <cell r="BX22">
            <v>0</v>
          </cell>
          <cell r="BY22"/>
          <cell r="BZ22"/>
          <cell r="CA22"/>
          <cell r="CB22"/>
          <cell r="CC22"/>
          <cell r="CD22"/>
          <cell r="CE22"/>
          <cell r="CF22"/>
          <cell r="CG22"/>
          <cell r="CI22"/>
          <cell r="CJ22"/>
          <cell r="CK22"/>
          <cell r="CL22"/>
        </row>
        <row r="23">
          <cell r="B23" t="str">
            <v>Obsuna, Stephanie Marie Ocampo</v>
          </cell>
          <cell r="C23" t="str">
            <v>164012140093</v>
          </cell>
          <cell r="D23" t="str">
            <v>Female</v>
          </cell>
          <cell r="E23" t="str">
            <v xml:space="preserve">15 </v>
          </cell>
          <cell r="BI23">
            <v>4</v>
          </cell>
          <cell r="BJ23">
            <v>19</v>
          </cell>
          <cell r="BK23">
            <v>21</v>
          </cell>
          <cell r="BL23"/>
          <cell r="BM23"/>
          <cell r="BN23"/>
          <cell r="BO23"/>
          <cell r="BP23"/>
          <cell r="BQ23"/>
          <cell r="BR23"/>
          <cell r="BS23"/>
          <cell r="BT23"/>
          <cell r="BV23">
            <v>0</v>
          </cell>
          <cell r="BW23">
            <v>0</v>
          </cell>
          <cell r="BX23">
            <v>0</v>
          </cell>
          <cell r="BY23"/>
          <cell r="BZ23"/>
          <cell r="CA23"/>
          <cell r="CB23"/>
          <cell r="CC23"/>
          <cell r="CD23"/>
          <cell r="CE23"/>
          <cell r="CF23"/>
          <cell r="CG23"/>
          <cell r="CI23"/>
          <cell r="CJ23"/>
          <cell r="CK23"/>
          <cell r="CL23"/>
        </row>
        <row r="49">
          <cell r="A49" t="str">
            <v>MARION RODRIGO D. MARIÑAS III</v>
          </cell>
          <cell r="C49" t="str">
            <v>MARION RODRIGO D. MARIÑAS III</v>
          </cell>
          <cell r="BI49">
            <v>4</v>
          </cell>
          <cell r="BJ49">
            <v>19</v>
          </cell>
          <cell r="BK49">
            <v>21</v>
          </cell>
          <cell r="BL49"/>
          <cell r="BM49"/>
          <cell r="BN49"/>
          <cell r="BO49"/>
          <cell r="BP49"/>
          <cell r="BQ49"/>
          <cell r="BR49"/>
          <cell r="BS49"/>
          <cell r="BT49"/>
          <cell r="BU49">
            <v>44</v>
          </cell>
        </row>
      </sheetData>
      <sheetData sheetId="1"/>
      <sheetData sheetId="2">
        <row r="11">
          <cell r="C11">
            <v>84</v>
          </cell>
          <cell r="D11">
            <v>90</v>
          </cell>
          <cell r="E11">
            <v>91</v>
          </cell>
          <cell r="F11">
            <v>89</v>
          </cell>
          <cell r="G11">
            <v>92</v>
          </cell>
          <cell r="H11">
            <v>80</v>
          </cell>
          <cell r="I11">
            <v>89</v>
          </cell>
          <cell r="J11">
            <v>95</v>
          </cell>
          <cell r="K11">
            <v>89</v>
          </cell>
          <cell r="L11">
            <v>91</v>
          </cell>
        </row>
        <row r="12">
          <cell r="C12">
            <v>87</v>
          </cell>
          <cell r="D12">
            <v>90</v>
          </cell>
          <cell r="E12">
            <v>86</v>
          </cell>
          <cell r="F12">
            <v>91</v>
          </cell>
          <cell r="G12">
            <v>91</v>
          </cell>
          <cell r="H12">
            <v>82</v>
          </cell>
          <cell r="I12">
            <v>87</v>
          </cell>
          <cell r="J12">
            <v>95</v>
          </cell>
          <cell r="K12">
            <v>81</v>
          </cell>
          <cell r="L12">
            <v>86</v>
          </cell>
        </row>
        <row r="13">
          <cell r="C13">
            <v>89</v>
          </cell>
          <cell r="D13">
            <v>92</v>
          </cell>
          <cell r="E13">
            <v>96</v>
          </cell>
          <cell r="F13">
            <v>93</v>
          </cell>
          <cell r="G13">
            <v>96</v>
          </cell>
          <cell r="H13">
            <v>96</v>
          </cell>
          <cell r="I13">
            <v>98</v>
          </cell>
          <cell r="J13">
            <v>96</v>
          </cell>
          <cell r="K13">
            <v>94</v>
          </cell>
          <cell r="L13">
            <v>91</v>
          </cell>
        </row>
        <row r="14">
          <cell r="C14">
            <v>87</v>
          </cell>
          <cell r="D14">
            <v>90</v>
          </cell>
          <cell r="E14">
            <v>93</v>
          </cell>
          <cell r="F14">
            <v>88</v>
          </cell>
          <cell r="G14">
            <v>90</v>
          </cell>
          <cell r="H14">
            <v>93</v>
          </cell>
          <cell r="I14">
            <v>90</v>
          </cell>
          <cell r="J14">
            <v>96</v>
          </cell>
          <cell r="K14">
            <v>87</v>
          </cell>
          <cell r="L14">
            <v>87</v>
          </cell>
        </row>
        <row r="15">
          <cell r="C15">
            <v>90</v>
          </cell>
          <cell r="D15">
            <v>90</v>
          </cell>
          <cell r="E15">
            <v>95</v>
          </cell>
          <cell r="F15">
            <v>90</v>
          </cell>
          <cell r="G15">
            <v>90</v>
          </cell>
          <cell r="H15">
            <v>94</v>
          </cell>
          <cell r="I15">
            <v>92</v>
          </cell>
          <cell r="J15">
            <v>96</v>
          </cell>
          <cell r="K15">
            <v>95</v>
          </cell>
          <cell r="L15">
            <v>91</v>
          </cell>
        </row>
        <row r="16">
          <cell r="C16">
            <v>90</v>
          </cell>
          <cell r="D16">
            <v>91</v>
          </cell>
          <cell r="E16">
            <v>94</v>
          </cell>
          <cell r="F16">
            <v>95</v>
          </cell>
          <cell r="G16">
            <v>94</v>
          </cell>
          <cell r="H16">
            <v>95</v>
          </cell>
          <cell r="I16">
            <v>93</v>
          </cell>
          <cell r="J16">
            <v>95</v>
          </cell>
          <cell r="K16">
            <v>93</v>
          </cell>
          <cell r="L16">
            <v>92</v>
          </cell>
        </row>
        <row r="17">
          <cell r="C17">
            <v>90</v>
          </cell>
          <cell r="D17">
            <v>92</v>
          </cell>
          <cell r="E17">
            <v>93</v>
          </cell>
          <cell r="F17">
            <v>93</v>
          </cell>
          <cell r="G17">
            <v>98</v>
          </cell>
          <cell r="H17">
            <v>93</v>
          </cell>
          <cell r="I17">
            <v>87</v>
          </cell>
          <cell r="J17">
            <v>95</v>
          </cell>
          <cell r="K17">
            <v>94</v>
          </cell>
          <cell r="L17">
            <v>91</v>
          </cell>
        </row>
        <row r="18">
          <cell r="C18">
            <v>87</v>
          </cell>
          <cell r="D18">
            <v>90</v>
          </cell>
          <cell r="E18">
            <v>89</v>
          </cell>
          <cell r="F18">
            <v>87</v>
          </cell>
          <cell r="G18">
            <v>92</v>
          </cell>
          <cell r="H18">
            <v>84</v>
          </cell>
          <cell r="I18">
            <v>90</v>
          </cell>
          <cell r="J18">
            <v>94</v>
          </cell>
          <cell r="K18">
            <v>82</v>
          </cell>
          <cell r="L18">
            <v>87</v>
          </cell>
        </row>
        <row r="19">
          <cell r="C19">
            <v>80</v>
          </cell>
          <cell r="D19">
            <v>90</v>
          </cell>
          <cell r="E19">
            <v>91</v>
          </cell>
          <cell r="F19">
            <v>80</v>
          </cell>
          <cell r="G19">
            <v>90</v>
          </cell>
          <cell r="H19">
            <v>80</v>
          </cell>
          <cell r="I19">
            <v>89</v>
          </cell>
          <cell r="J19">
            <v>90</v>
          </cell>
          <cell r="K19">
            <v>87</v>
          </cell>
          <cell r="L19">
            <v>87</v>
          </cell>
        </row>
        <row r="20">
          <cell r="C20">
            <v>92</v>
          </cell>
          <cell r="D20">
            <v>93</v>
          </cell>
          <cell r="E20">
            <v>91</v>
          </cell>
          <cell r="F20">
            <v>96</v>
          </cell>
          <cell r="G20">
            <v>95</v>
          </cell>
          <cell r="H20">
            <v>96</v>
          </cell>
          <cell r="I20">
            <v>95</v>
          </cell>
          <cell r="J20">
            <v>96</v>
          </cell>
          <cell r="K20">
            <v>97</v>
          </cell>
          <cell r="L20">
            <v>91</v>
          </cell>
        </row>
        <row r="21">
          <cell r="C21">
            <v>90</v>
          </cell>
          <cell r="D21">
            <v>90</v>
          </cell>
          <cell r="E21">
            <v>91</v>
          </cell>
          <cell r="F21">
            <v>89</v>
          </cell>
          <cell r="G21">
            <v>94</v>
          </cell>
          <cell r="H21">
            <v>85</v>
          </cell>
          <cell r="I21">
            <v>89</v>
          </cell>
          <cell r="J21">
            <v>97</v>
          </cell>
          <cell r="K21">
            <v>87</v>
          </cell>
          <cell r="L21">
            <v>91</v>
          </cell>
        </row>
        <row r="22">
          <cell r="C22">
            <v>92</v>
          </cell>
          <cell r="D22">
            <v>90</v>
          </cell>
          <cell r="E22">
            <v>90</v>
          </cell>
          <cell r="F22">
            <v>95</v>
          </cell>
          <cell r="G22">
            <v>97</v>
          </cell>
          <cell r="H22">
            <v>95</v>
          </cell>
          <cell r="I22">
            <v>96</v>
          </cell>
          <cell r="J22">
            <v>96</v>
          </cell>
          <cell r="K22">
            <v>90</v>
          </cell>
          <cell r="L22">
            <v>93</v>
          </cell>
        </row>
        <row r="23">
          <cell r="C23">
            <v>91</v>
          </cell>
          <cell r="D23">
            <v>91</v>
          </cell>
          <cell r="E23">
            <v>92</v>
          </cell>
          <cell r="F23">
            <v>94</v>
          </cell>
          <cell r="G23">
            <v>92</v>
          </cell>
          <cell r="H23">
            <v>88</v>
          </cell>
          <cell r="I23">
            <v>85</v>
          </cell>
          <cell r="J23">
            <v>96</v>
          </cell>
          <cell r="K23">
            <v>94</v>
          </cell>
          <cell r="L23">
            <v>91</v>
          </cell>
        </row>
        <row r="24">
          <cell r="C24">
            <v>92</v>
          </cell>
          <cell r="D24">
            <v>91</v>
          </cell>
          <cell r="E24">
            <v>93</v>
          </cell>
          <cell r="F24">
            <v>94</v>
          </cell>
          <cell r="G24">
            <v>97</v>
          </cell>
          <cell r="H24">
            <v>92</v>
          </cell>
          <cell r="I24">
            <v>96</v>
          </cell>
          <cell r="J24">
            <v>96</v>
          </cell>
          <cell r="K24">
            <v>95</v>
          </cell>
          <cell r="L24">
            <v>91</v>
          </cell>
        </row>
        <row r="25">
          <cell r="C25">
            <v>88</v>
          </cell>
          <cell r="D25">
            <v>90</v>
          </cell>
          <cell r="E25">
            <v>91</v>
          </cell>
          <cell r="F25">
            <v>90</v>
          </cell>
          <cell r="G25">
            <v>90</v>
          </cell>
          <cell r="H25">
            <v>90</v>
          </cell>
          <cell r="I25">
            <v>88</v>
          </cell>
          <cell r="J25">
            <v>96</v>
          </cell>
          <cell r="K25">
            <v>93</v>
          </cell>
          <cell r="L25">
            <v>91</v>
          </cell>
        </row>
        <row r="26">
          <cell r="C26">
            <v>92</v>
          </cell>
          <cell r="D26">
            <v>90</v>
          </cell>
          <cell r="E26">
            <v>94</v>
          </cell>
          <cell r="F26">
            <v>97</v>
          </cell>
          <cell r="G26">
            <v>96</v>
          </cell>
          <cell r="H26">
            <v>92</v>
          </cell>
          <cell r="I26">
            <v>96</v>
          </cell>
          <cell r="J26">
            <v>96</v>
          </cell>
          <cell r="K26">
            <v>96</v>
          </cell>
          <cell r="L26">
            <v>91</v>
          </cell>
        </row>
        <row r="27">
          <cell r="C27">
            <v>94</v>
          </cell>
          <cell r="D27">
            <v>92</v>
          </cell>
          <cell r="E27">
            <v>96</v>
          </cell>
          <cell r="F27">
            <v>97</v>
          </cell>
          <cell r="G27">
            <v>96</v>
          </cell>
          <cell r="H27">
            <v>93</v>
          </cell>
          <cell r="I27">
            <v>91</v>
          </cell>
          <cell r="J27">
            <v>96</v>
          </cell>
          <cell r="K27">
            <v>98</v>
          </cell>
          <cell r="L27">
            <v>92</v>
          </cell>
        </row>
        <row r="28">
          <cell r="C28">
            <v>91</v>
          </cell>
          <cell r="D28">
            <v>90</v>
          </cell>
          <cell r="E28">
            <v>90</v>
          </cell>
          <cell r="F28">
            <v>90</v>
          </cell>
          <cell r="G28">
            <v>90</v>
          </cell>
          <cell r="H28">
            <v>92</v>
          </cell>
          <cell r="I28">
            <v>85</v>
          </cell>
          <cell r="J28">
            <v>95</v>
          </cell>
          <cell r="K28">
            <v>87</v>
          </cell>
          <cell r="L28">
            <v>91</v>
          </cell>
        </row>
        <row r="29">
          <cell r="C29">
            <v>87</v>
          </cell>
          <cell r="D29">
            <v>90</v>
          </cell>
          <cell r="E29">
            <v>91</v>
          </cell>
          <cell r="F29">
            <v>90</v>
          </cell>
          <cell r="G29">
            <v>91</v>
          </cell>
          <cell r="H29">
            <v>93</v>
          </cell>
          <cell r="I29">
            <v>87</v>
          </cell>
          <cell r="J29">
            <v>96</v>
          </cell>
          <cell r="K29">
            <v>92</v>
          </cell>
          <cell r="L29">
            <v>89</v>
          </cell>
        </row>
        <row r="30">
          <cell r="C30">
            <v>94</v>
          </cell>
          <cell r="D30">
            <v>90</v>
          </cell>
          <cell r="E30">
            <v>94</v>
          </cell>
          <cell r="F30">
            <v>96</v>
          </cell>
          <cell r="G30">
            <v>96</v>
          </cell>
          <cell r="H30">
            <v>96</v>
          </cell>
          <cell r="I30">
            <v>90</v>
          </cell>
          <cell r="J30">
            <v>97</v>
          </cell>
          <cell r="K30">
            <v>98</v>
          </cell>
          <cell r="L30">
            <v>93</v>
          </cell>
        </row>
      </sheetData>
      <sheetData sheetId="3">
        <row r="11">
          <cell r="C11">
            <v>88</v>
          </cell>
          <cell r="D11">
            <v>89</v>
          </cell>
          <cell r="E11">
            <v>92</v>
          </cell>
          <cell r="F11">
            <v>92</v>
          </cell>
          <cell r="G11">
            <v>87</v>
          </cell>
          <cell r="H11">
            <v>84</v>
          </cell>
          <cell r="I11">
            <v>97</v>
          </cell>
          <cell r="J11">
            <v>91</v>
          </cell>
          <cell r="K11">
            <v>92</v>
          </cell>
          <cell r="L11">
            <v>93</v>
          </cell>
        </row>
        <row r="12">
          <cell r="C12">
            <v>87</v>
          </cell>
          <cell r="D12">
            <v>85</v>
          </cell>
          <cell r="E12">
            <v>87</v>
          </cell>
          <cell r="F12">
            <v>89</v>
          </cell>
          <cell r="G12">
            <v>87</v>
          </cell>
          <cell r="H12">
            <v>80</v>
          </cell>
          <cell r="I12">
            <v>94</v>
          </cell>
          <cell r="J12">
            <v>90</v>
          </cell>
          <cell r="K12">
            <v>85</v>
          </cell>
          <cell r="L12">
            <v>89</v>
          </cell>
        </row>
        <row r="13">
          <cell r="C13">
            <v>92</v>
          </cell>
          <cell r="D13">
            <v>92</v>
          </cell>
          <cell r="E13">
            <v>95</v>
          </cell>
          <cell r="F13">
            <v>98</v>
          </cell>
          <cell r="G13">
            <v>94</v>
          </cell>
          <cell r="H13">
            <v>91</v>
          </cell>
          <cell r="I13">
            <v>98</v>
          </cell>
          <cell r="J13">
            <v>91</v>
          </cell>
          <cell r="K13">
            <v>95</v>
          </cell>
          <cell r="L13">
            <v>95</v>
          </cell>
        </row>
        <row r="14">
          <cell r="C14">
            <v>89</v>
          </cell>
          <cell r="D14">
            <v>87</v>
          </cell>
          <cell r="E14">
            <v>92</v>
          </cell>
          <cell r="F14">
            <v>92</v>
          </cell>
          <cell r="G14">
            <v>87</v>
          </cell>
          <cell r="H14">
            <v>87</v>
          </cell>
          <cell r="I14">
            <v>95</v>
          </cell>
          <cell r="J14">
            <v>90</v>
          </cell>
          <cell r="K14">
            <v>90</v>
          </cell>
          <cell r="L14">
            <v>92</v>
          </cell>
        </row>
        <row r="15">
          <cell r="C15">
            <v>88</v>
          </cell>
          <cell r="D15">
            <v>88</v>
          </cell>
          <cell r="E15">
            <v>93</v>
          </cell>
          <cell r="F15">
            <v>96</v>
          </cell>
          <cell r="G15">
            <v>90</v>
          </cell>
          <cell r="H15">
            <v>87</v>
          </cell>
          <cell r="I15">
            <v>96</v>
          </cell>
          <cell r="J15">
            <v>91</v>
          </cell>
          <cell r="K15">
            <v>93</v>
          </cell>
          <cell r="L15">
            <v>96</v>
          </cell>
        </row>
        <row r="16">
          <cell r="C16">
            <v>96</v>
          </cell>
          <cell r="D16">
            <v>92</v>
          </cell>
          <cell r="E16">
            <v>97</v>
          </cell>
          <cell r="F16">
            <v>96</v>
          </cell>
          <cell r="G16">
            <v>96</v>
          </cell>
          <cell r="H16">
            <v>88</v>
          </cell>
          <cell r="I16">
            <v>96</v>
          </cell>
          <cell r="J16">
            <v>93</v>
          </cell>
          <cell r="K16">
            <v>96</v>
          </cell>
          <cell r="L16">
            <v>96</v>
          </cell>
        </row>
        <row r="17">
          <cell r="C17">
            <v>92</v>
          </cell>
          <cell r="D17">
            <v>92</v>
          </cell>
          <cell r="E17">
            <v>92</v>
          </cell>
          <cell r="F17">
            <v>95</v>
          </cell>
          <cell r="G17">
            <v>96</v>
          </cell>
          <cell r="H17">
            <v>88</v>
          </cell>
          <cell r="I17">
            <v>97</v>
          </cell>
          <cell r="J17">
            <v>92</v>
          </cell>
          <cell r="K17">
            <v>90</v>
          </cell>
          <cell r="L17">
            <v>94</v>
          </cell>
        </row>
        <row r="18">
          <cell r="C18">
            <v>88</v>
          </cell>
          <cell r="D18">
            <v>87</v>
          </cell>
          <cell r="E18">
            <v>92</v>
          </cell>
          <cell r="F18">
            <v>92</v>
          </cell>
          <cell r="G18">
            <v>91</v>
          </cell>
          <cell r="H18">
            <v>86</v>
          </cell>
          <cell r="I18">
            <v>96</v>
          </cell>
          <cell r="J18">
            <v>90</v>
          </cell>
          <cell r="K18">
            <v>86</v>
          </cell>
          <cell r="L18">
            <v>92</v>
          </cell>
        </row>
        <row r="19">
          <cell r="C19">
            <v>80</v>
          </cell>
          <cell r="D19">
            <v>85</v>
          </cell>
          <cell r="E19">
            <v>89</v>
          </cell>
          <cell r="F19">
            <v>89</v>
          </cell>
          <cell r="G19">
            <v>87</v>
          </cell>
          <cell r="H19">
            <v>85</v>
          </cell>
          <cell r="I19">
            <v>95</v>
          </cell>
          <cell r="J19">
            <v>90</v>
          </cell>
          <cell r="K19">
            <v>87</v>
          </cell>
          <cell r="L19">
            <v>89</v>
          </cell>
        </row>
        <row r="20">
          <cell r="C20">
            <v>94</v>
          </cell>
          <cell r="D20">
            <v>93</v>
          </cell>
          <cell r="E20">
            <v>94</v>
          </cell>
          <cell r="F20">
            <v>95</v>
          </cell>
          <cell r="G20">
            <v>95</v>
          </cell>
          <cell r="H20">
            <v>88</v>
          </cell>
          <cell r="I20">
            <v>97</v>
          </cell>
          <cell r="J20">
            <v>95</v>
          </cell>
          <cell r="K20">
            <v>99</v>
          </cell>
          <cell r="L20">
            <v>95</v>
          </cell>
        </row>
        <row r="21">
          <cell r="C21">
            <v>89</v>
          </cell>
          <cell r="D21">
            <v>89</v>
          </cell>
          <cell r="E21">
            <v>91</v>
          </cell>
          <cell r="F21">
            <v>91</v>
          </cell>
          <cell r="G21">
            <v>87</v>
          </cell>
          <cell r="H21">
            <v>84</v>
          </cell>
          <cell r="I21">
            <v>97</v>
          </cell>
          <cell r="J21">
            <v>93</v>
          </cell>
          <cell r="K21">
            <v>88</v>
          </cell>
          <cell r="L21">
            <v>90</v>
          </cell>
        </row>
        <row r="22">
          <cell r="C22">
            <v>93</v>
          </cell>
          <cell r="D22">
            <v>91</v>
          </cell>
          <cell r="E22">
            <v>93</v>
          </cell>
          <cell r="F22">
            <v>96</v>
          </cell>
          <cell r="G22">
            <v>96</v>
          </cell>
          <cell r="H22">
            <v>90</v>
          </cell>
          <cell r="I22">
            <v>98</v>
          </cell>
          <cell r="J22">
            <v>92</v>
          </cell>
          <cell r="K22">
            <v>93</v>
          </cell>
          <cell r="L22">
            <v>95</v>
          </cell>
        </row>
        <row r="23">
          <cell r="C23">
            <v>91</v>
          </cell>
          <cell r="D23">
            <v>88</v>
          </cell>
          <cell r="E23">
            <v>94</v>
          </cell>
          <cell r="F23">
            <v>88</v>
          </cell>
          <cell r="G23">
            <v>89</v>
          </cell>
          <cell r="H23">
            <v>88</v>
          </cell>
          <cell r="I23">
            <v>95</v>
          </cell>
          <cell r="J23">
            <v>92</v>
          </cell>
          <cell r="K23">
            <v>90</v>
          </cell>
          <cell r="L23">
            <v>92</v>
          </cell>
        </row>
        <row r="24">
          <cell r="C24">
            <v>93</v>
          </cell>
          <cell r="D24">
            <v>92</v>
          </cell>
          <cell r="E24">
            <v>95</v>
          </cell>
          <cell r="F24">
            <v>95</v>
          </cell>
          <cell r="G24">
            <v>98</v>
          </cell>
          <cell r="H24">
            <v>88</v>
          </cell>
          <cell r="I24">
            <v>98</v>
          </cell>
          <cell r="J24">
            <v>93</v>
          </cell>
          <cell r="K24">
            <v>95</v>
          </cell>
          <cell r="L24">
            <v>95</v>
          </cell>
        </row>
        <row r="25">
          <cell r="C25">
            <v>92</v>
          </cell>
          <cell r="D25">
            <v>90</v>
          </cell>
          <cell r="E25">
            <v>93</v>
          </cell>
          <cell r="F25">
            <v>95</v>
          </cell>
          <cell r="G25">
            <v>94</v>
          </cell>
          <cell r="H25">
            <v>85</v>
          </cell>
          <cell r="I25">
            <v>97</v>
          </cell>
          <cell r="J25">
            <v>92</v>
          </cell>
          <cell r="K25">
            <v>92</v>
          </cell>
          <cell r="L25">
            <v>92</v>
          </cell>
        </row>
        <row r="26">
          <cell r="C26">
            <v>94</v>
          </cell>
          <cell r="D26">
            <v>91</v>
          </cell>
          <cell r="E26">
            <v>96</v>
          </cell>
          <cell r="F26">
            <v>98</v>
          </cell>
          <cell r="G26">
            <v>96</v>
          </cell>
          <cell r="H26">
            <v>85</v>
          </cell>
          <cell r="I26">
            <v>98</v>
          </cell>
          <cell r="J26">
            <v>92</v>
          </cell>
          <cell r="K26">
            <v>97</v>
          </cell>
          <cell r="L26">
            <v>94</v>
          </cell>
        </row>
        <row r="27">
          <cell r="C27">
            <v>88</v>
          </cell>
          <cell r="D27">
            <v>92</v>
          </cell>
          <cell r="E27">
            <v>95</v>
          </cell>
          <cell r="F27">
            <v>96</v>
          </cell>
          <cell r="G27">
            <v>96</v>
          </cell>
          <cell r="H27">
            <v>88</v>
          </cell>
          <cell r="I27">
            <v>97</v>
          </cell>
          <cell r="J27">
            <v>95</v>
          </cell>
          <cell r="K27">
            <v>97</v>
          </cell>
          <cell r="L27">
            <v>97</v>
          </cell>
        </row>
        <row r="28">
          <cell r="C28">
            <v>92</v>
          </cell>
          <cell r="D28">
            <v>90</v>
          </cell>
          <cell r="E28">
            <v>94</v>
          </cell>
          <cell r="F28">
            <v>92</v>
          </cell>
          <cell r="G28">
            <v>95</v>
          </cell>
          <cell r="H28">
            <v>87</v>
          </cell>
          <cell r="I28">
            <v>97</v>
          </cell>
          <cell r="J28">
            <v>92</v>
          </cell>
          <cell r="K28">
            <v>88</v>
          </cell>
          <cell r="L28">
            <v>95</v>
          </cell>
        </row>
        <row r="29">
          <cell r="C29">
            <v>88</v>
          </cell>
          <cell r="D29">
            <v>88</v>
          </cell>
          <cell r="E29">
            <v>93</v>
          </cell>
          <cell r="F29">
            <v>93</v>
          </cell>
          <cell r="G29">
            <v>92</v>
          </cell>
          <cell r="H29">
            <v>80</v>
          </cell>
          <cell r="I29">
            <v>97</v>
          </cell>
          <cell r="J29">
            <v>92</v>
          </cell>
          <cell r="K29">
            <v>93</v>
          </cell>
          <cell r="L29">
            <v>92</v>
          </cell>
        </row>
        <row r="30">
          <cell r="C30">
            <v>93</v>
          </cell>
          <cell r="D30">
            <v>92</v>
          </cell>
          <cell r="E30">
            <v>94</v>
          </cell>
          <cell r="F30">
            <v>97</v>
          </cell>
          <cell r="G30">
            <v>97</v>
          </cell>
          <cell r="H30">
            <v>91</v>
          </cell>
          <cell r="I30">
            <v>98</v>
          </cell>
          <cell r="J30">
            <v>95</v>
          </cell>
          <cell r="K30">
            <v>99</v>
          </cell>
          <cell r="L30">
            <v>96</v>
          </cell>
        </row>
      </sheetData>
      <sheetData sheetId="4">
        <row r="11">
          <cell r="C11">
            <v>95</v>
          </cell>
          <cell r="D11">
            <v>95</v>
          </cell>
          <cell r="E11">
            <v>92</v>
          </cell>
          <cell r="F11">
            <v>91</v>
          </cell>
          <cell r="G11">
            <v>95</v>
          </cell>
          <cell r="H11">
            <v>90</v>
          </cell>
          <cell r="I11">
            <v>97</v>
          </cell>
          <cell r="J11">
            <v>92</v>
          </cell>
          <cell r="K11">
            <v>89</v>
          </cell>
          <cell r="L11">
            <v>95</v>
          </cell>
        </row>
        <row r="12">
          <cell r="C12">
            <v>89</v>
          </cell>
          <cell r="D12">
            <v>94</v>
          </cell>
          <cell r="E12">
            <v>86</v>
          </cell>
          <cell r="F12">
            <v>83</v>
          </cell>
          <cell r="G12">
            <v>94</v>
          </cell>
          <cell r="H12">
            <v>84</v>
          </cell>
          <cell r="I12">
            <v>95</v>
          </cell>
          <cell r="J12">
            <v>92</v>
          </cell>
          <cell r="K12">
            <v>86</v>
          </cell>
          <cell r="L12">
            <v>93</v>
          </cell>
        </row>
        <row r="13">
          <cell r="C13">
            <v>95</v>
          </cell>
          <cell r="D13">
            <v>96</v>
          </cell>
          <cell r="E13">
            <v>96</v>
          </cell>
          <cell r="F13">
            <v>96</v>
          </cell>
          <cell r="G13">
            <v>99</v>
          </cell>
          <cell r="H13">
            <v>97</v>
          </cell>
          <cell r="I13">
            <v>99</v>
          </cell>
          <cell r="J13">
            <v>94</v>
          </cell>
          <cell r="K13">
            <v>98</v>
          </cell>
          <cell r="L13">
            <v>95</v>
          </cell>
        </row>
        <row r="14">
          <cell r="C14">
            <v>87</v>
          </cell>
          <cell r="D14">
            <v>95</v>
          </cell>
          <cell r="E14">
            <v>92</v>
          </cell>
          <cell r="F14">
            <v>85</v>
          </cell>
          <cell r="G14">
            <v>94</v>
          </cell>
          <cell r="H14">
            <v>87</v>
          </cell>
          <cell r="I14">
            <v>95</v>
          </cell>
          <cell r="J14">
            <v>92</v>
          </cell>
          <cell r="K14">
            <v>93</v>
          </cell>
          <cell r="L14">
            <v>94</v>
          </cell>
        </row>
        <row r="15">
          <cell r="C15">
            <v>91</v>
          </cell>
          <cell r="D15">
            <v>93</v>
          </cell>
          <cell r="E15">
            <v>95</v>
          </cell>
          <cell r="F15">
            <v>92</v>
          </cell>
          <cell r="G15">
            <v>94</v>
          </cell>
          <cell r="H15">
            <v>95</v>
          </cell>
          <cell r="I15">
            <v>97</v>
          </cell>
          <cell r="J15">
            <v>92</v>
          </cell>
          <cell r="K15">
            <v>96</v>
          </cell>
          <cell r="L15">
            <v>94</v>
          </cell>
        </row>
        <row r="16">
          <cell r="C16">
            <v>94</v>
          </cell>
          <cell r="D16">
            <v>96</v>
          </cell>
          <cell r="E16">
            <v>98</v>
          </cell>
          <cell r="F16">
            <v>97</v>
          </cell>
          <cell r="G16">
            <v>98</v>
          </cell>
          <cell r="H16">
            <v>94</v>
          </cell>
          <cell r="I16">
            <v>97</v>
          </cell>
          <cell r="J16">
            <v>95</v>
          </cell>
          <cell r="K16">
            <v>97</v>
          </cell>
          <cell r="L16">
            <v>96</v>
          </cell>
        </row>
        <row r="17">
          <cell r="C17">
            <v>96</v>
          </cell>
          <cell r="D17">
            <v>97</v>
          </cell>
          <cell r="E17">
            <v>90</v>
          </cell>
          <cell r="F17">
            <v>92</v>
          </cell>
          <cell r="G17">
            <v>96</v>
          </cell>
          <cell r="H17">
            <v>95</v>
          </cell>
          <cell r="I17">
            <v>99</v>
          </cell>
          <cell r="J17">
            <v>95</v>
          </cell>
          <cell r="K17">
            <v>90</v>
          </cell>
          <cell r="L17">
            <v>94</v>
          </cell>
        </row>
        <row r="18">
          <cell r="C18">
            <v>91</v>
          </cell>
          <cell r="D18">
            <v>91</v>
          </cell>
          <cell r="E18">
            <v>90</v>
          </cell>
          <cell r="F18">
            <v>86</v>
          </cell>
          <cell r="G18">
            <v>93</v>
          </cell>
          <cell r="H18">
            <v>87</v>
          </cell>
          <cell r="I18">
            <v>96</v>
          </cell>
          <cell r="J18">
            <v>92</v>
          </cell>
          <cell r="K18">
            <v>90</v>
          </cell>
          <cell r="L18">
            <v>95</v>
          </cell>
        </row>
        <row r="19">
          <cell r="C19">
            <v>88</v>
          </cell>
          <cell r="D19">
            <v>91</v>
          </cell>
          <cell r="E19">
            <v>89</v>
          </cell>
          <cell r="F19">
            <v>95</v>
          </cell>
          <cell r="G19">
            <v>91</v>
          </cell>
          <cell r="H19">
            <v>87</v>
          </cell>
          <cell r="I19">
            <v>96</v>
          </cell>
          <cell r="J19">
            <v>91</v>
          </cell>
          <cell r="K19">
            <v>88</v>
          </cell>
          <cell r="L19">
            <v>93</v>
          </cell>
        </row>
        <row r="20">
          <cell r="C20">
            <v>92</v>
          </cell>
          <cell r="D20">
            <v>95</v>
          </cell>
          <cell r="E20">
            <v>90</v>
          </cell>
          <cell r="F20">
            <v>96</v>
          </cell>
          <cell r="G20">
            <v>99</v>
          </cell>
          <cell r="H20">
            <v>90</v>
          </cell>
          <cell r="I20">
            <v>99</v>
          </cell>
          <cell r="J20">
            <v>96</v>
          </cell>
          <cell r="K20">
            <v>98</v>
          </cell>
          <cell r="L20">
            <v>95</v>
          </cell>
        </row>
        <row r="21">
          <cell r="C21">
            <v>91</v>
          </cell>
          <cell r="D21">
            <v>93</v>
          </cell>
          <cell r="E21">
            <v>88</v>
          </cell>
          <cell r="F21">
            <v>91</v>
          </cell>
          <cell r="G21">
            <v>95</v>
          </cell>
          <cell r="H21">
            <v>87</v>
          </cell>
          <cell r="I21">
            <v>98</v>
          </cell>
          <cell r="J21">
            <v>95</v>
          </cell>
          <cell r="K21">
            <v>92</v>
          </cell>
          <cell r="L21">
            <v>93</v>
          </cell>
        </row>
        <row r="22">
          <cell r="C22">
            <v>95</v>
          </cell>
          <cell r="D22">
            <v>95</v>
          </cell>
          <cell r="E22">
            <v>93</v>
          </cell>
          <cell r="F22">
            <v>96</v>
          </cell>
          <cell r="G22">
            <v>99</v>
          </cell>
          <cell r="H22">
            <v>93</v>
          </cell>
          <cell r="I22">
            <v>98</v>
          </cell>
          <cell r="J22">
            <v>95</v>
          </cell>
          <cell r="K22">
            <v>95</v>
          </cell>
          <cell r="L22">
            <v>95</v>
          </cell>
        </row>
        <row r="23">
          <cell r="C23">
            <v>94</v>
          </cell>
          <cell r="D23">
            <v>92</v>
          </cell>
          <cell r="E23">
            <v>91</v>
          </cell>
          <cell r="F23">
            <v>95</v>
          </cell>
          <cell r="G23">
            <v>96</v>
          </cell>
          <cell r="H23">
            <v>88</v>
          </cell>
          <cell r="I23">
            <v>98</v>
          </cell>
          <cell r="J23">
            <v>93</v>
          </cell>
          <cell r="K23">
            <v>92</v>
          </cell>
          <cell r="L23">
            <v>94</v>
          </cell>
        </row>
        <row r="24">
          <cell r="C24">
            <v>95</v>
          </cell>
          <cell r="D24">
            <v>94</v>
          </cell>
          <cell r="E24">
            <v>95</v>
          </cell>
          <cell r="F24">
            <v>92</v>
          </cell>
          <cell r="G24">
            <v>97</v>
          </cell>
          <cell r="H24">
            <v>89</v>
          </cell>
          <cell r="I24">
            <v>98</v>
          </cell>
          <cell r="J24">
            <v>95</v>
          </cell>
          <cell r="K24">
            <v>95</v>
          </cell>
          <cell r="L24">
            <v>96</v>
          </cell>
        </row>
        <row r="25">
          <cell r="C25">
            <v>94</v>
          </cell>
          <cell r="D25">
            <v>95</v>
          </cell>
          <cell r="E25">
            <v>93</v>
          </cell>
          <cell r="F25">
            <v>93</v>
          </cell>
          <cell r="G25">
            <v>95</v>
          </cell>
          <cell r="H25">
            <v>89</v>
          </cell>
          <cell r="I25">
            <v>98</v>
          </cell>
          <cell r="J25">
            <v>93</v>
          </cell>
          <cell r="K25">
            <v>90</v>
          </cell>
          <cell r="L25">
            <v>94</v>
          </cell>
        </row>
        <row r="26">
          <cell r="C26">
            <v>95</v>
          </cell>
          <cell r="D26">
            <v>93</v>
          </cell>
          <cell r="E26">
            <v>93</v>
          </cell>
          <cell r="F26">
            <v>98</v>
          </cell>
          <cell r="G26">
            <v>99</v>
          </cell>
          <cell r="H26">
            <v>90</v>
          </cell>
          <cell r="I26">
            <v>99</v>
          </cell>
          <cell r="J26">
            <v>96</v>
          </cell>
          <cell r="K26">
            <v>97</v>
          </cell>
          <cell r="L26">
            <v>95</v>
          </cell>
        </row>
        <row r="27">
          <cell r="C27">
            <v>96</v>
          </cell>
          <cell r="D27">
            <v>95</v>
          </cell>
          <cell r="E27">
            <v>93</v>
          </cell>
          <cell r="F27">
            <v>96</v>
          </cell>
          <cell r="G27">
            <v>96</v>
          </cell>
          <cell r="H27">
            <v>92</v>
          </cell>
          <cell r="I27">
            <v>97</v>
          </cell>
          <cell r="J27">
            <v>97</v>
          </cell>
          <cell r="K27">
            <v>97</v>
          </cell>
          <cell r="L27">
            <v>95</v>
          </cell>
        </row>
        <row r="28">
          <cell r="C28">
            <v>90</v>
          </cell>
          <cell r="D28">
            <v>93</v>
          </cell>
          <cell r="E28">
            <v>92</v>
          </cell>
          <cell r="F28">
            <v>92</v>
          </cell>
          <cell r="G28">
            <v>95</v>
          </cell>
          <cell r="H28">
            <v>92</v>
          </cell>
          <cell r="I28">
            <v>96</v>
          </cell>
          <cell r="J28">
            <v>94</v>
          </cell>
          <cell r="K28">
            <v>89</v>
          </cell>
          <cell r="L28">
            <v>95</v>
          </cell>
        </row>
        <row r="29">
          <cell r="C29">
            <v>92</v>
          </cell>
          <cell r="D29">
            <v>92</v>
          </cell>
          <cell r="E29">
            <v>93</v>
          </cell>
          <cell r="F29">
            <v>93</v>
          </cell>
          <cell r="G29">
            <v>90</v>
          </cell>
          <cell r="H29">
            <v>93</v>
          </cell>
          <cell r="I29">
            <v>99</v>
          </cell>
          <cell r="J29">
            <v>93</v>
          </cell>
          <cell r="K29">
            <v>95</v>
          </cell>
          <cell r="L29">
            <v>93</v>
          </cell>
        </row>
        <row r="30">
          <cell r="C30">
            <v>94</v>
          </cell>
          <cell r="D30">
            <v>97</v>
          </cell>
          <cell r="E30">
            <v>93</v>
          </cell>
          <cell r="F30">
            <v>95</v>
          </cell>
          <cell r="G30">
            <v>99</v>
          </cell>
          <cell r="H30">
            <v>91</v>
          </cell>
          <cell r="I30">
            <v>99</v>
          </cell>
          <cell r="J30">
            <v>96</v>
          </cell>
          <cell r="K30">
            <v>99</v>
          </cell>
          <cell r="L30">
            <v>95</v>
          </cell>
        </row>
      </sheetData>
      <sheetData sheetId="5">
        <row r="11">
          <cell r="C11">
            <v>93</v>
          </cell>
          <cell r="D11">
            <v>96</v>
          </cell>
          <cell r="E11">
            <v>96</v>
          </cell>
          <cell r="F11">
            <v>89</v>
          </cell>
          <cell r="G11">
            <v>97</v>
          </cell>
          <cell r="H11">
            <v>98</v>
          </cell>
          <cell r="I11">
            <v>95</v>
          </cell>
          <cell r="J11">
            <v>94</v>
          </cell>
          <cell r="K11">
            <v>95</v>
          </cell>
          <cell r="L11">
            <v>96</v>
          </cell>
          <cell r="M11">
            <v>94.9</v>
          </cell>
        </row>
        <row r="12">
          <cell r="C12">
            <v>91</v>
          </cell>
          <cell r="D12">
            <v>90</v>
          </cell>
          <cell r="E12">
            <v>96</v>
          </cell>
          <cell r="F12">
            <v>88</v>
          </cell>
          <cell r="G12">
            <v>96</v>
          </cell>
          <cell r="H12">
            <v>95</v>
          </cell>
          <cell r="I12">
            <v>95</v>
          </cell>
          <cell r="J12">
            <v>94</v>
          </cell>
          <cell r="K12">
            <v>94</v>
          </cell>
          <cell r="L12">
            <v>95</v>
          </cell>
          <cell r="M12">
            <v>93.4</v>
          </cell>
        </row>
        <row r="13">
          <cell r="C13">
            <v>94</v>
          </cell>
          <cell r="D13">
            <v>99</v>
          </cell>
          <cell r="E13">
            <v>98</v>
          </cell>
          <cell r="F13">
            <v>96</v>
          </cell>
          <cell r="G13">
            <v>98</v>
          </cell>
          <cell r="H13">
            <v>98</v>
          </cell>
          <cell r="I13">
            <v>98</v>
          </cell>
          <cell r="J13">
            <v>97</v>
          </cell>
          <cell r="K13">
            <v>98</v>
          </cell>
          <cell r="L13">
            <v>96</v>
          </cell>
        </row>
        <row r="14">
          <cell r="C14">
            <v>89</v>
          </cell>
          <cell r="D14">
            <v>95</v>
          </cell>
          <cell r="E14">
            <v>96</v>
          </cell>
          <cell r="F14">
            <v>87</v>
          </cell>
          <cell r="G14">
            <v>94</v>
          </cell>
          <cell r="H14">
            <v>98</v>
          </cell>
          <cell r="I14">
            <v>96</v>
          </cell>
          <cell r="J14">
            <v>94</v>
          </cell>
          <cell r="K14">
            <v>94</v>
          </cell>
          <cell r="L14">
            <v>95</v>
          </cell>
        </row>
        <row r="15">
          <cell r="C15">
            <v>90</v>
          </cell>
          <cell r="D15">
            <v>96</v>
          </cell>
          <cell r="E15">
            <v>97</v>
          </cell>
          <cell r="F15">
            <v>92</v>
          </cell>
          <cell r="G15">
            <v>97</v>
          </cell>
          <cell r="H15">
            <v>98</v>
          </cell>
          <cell r="I15">
            <v>95</v>
          </cell>
          <cell r="J15">
            <v>95</v>
          </cell>
          <cell r="K15">
            <v>96</v>
          </cell>
          <cell r="L15">
            <v>93</v>
          </cell>
        </row>
        <row r="16">
          <cell r="C16">
            <v>98</v>
          </cell>
          <cell r="D16">
            <v>98</v>
          </cell>
          <cell r="E16">
            <v>97</v>
          </cell>
          <cell r="F16">
            <v>95</v>
          </cell>
          <cell r="G16">
            <v>99</v>
          </cell>
          <cell r="H16">
            <v>96</v>
          </cell>
          <cell r="I16">
            <v>95</v>
          </cell>
          <cell r="J16">
            <v>96</v>
          </cell>
          <cell r="K16">
            <v>96</v>
          </cell>
          <cell r="L16">
            <v>96</v>
          </cell>
        </row>
        <row r="17">
          <cell r="C17">
            <v>95</v>
          </cell>
          <cell r="D17">
            <v>98</v>
          </cell>
          <cell r="E17">
            <v>95</v>
          </cell>
          <cell r="F17">
            <v>91</v>
          </cell>
          <cell r="G17">
            <v>97</v>
          </cell>
          <cell r="H17">
            <v>96</v>
          </cell>
          <cell r="I17">
            <v>97</v>
          </cell>
          <cell r="J17">
            <v>95</v>
          </cell>
          <cell r="K17">
            <v>96</v>
          </cell>
          <cell r="L17">
            <v>95</v>
          </cell>
        </row>
        <row r="18">
          <cell r="C18">
            <v>90</v>
          </cell>
          <cell r="D18">
            <v>95</v>
          </cell>
          <cell r="E18">
            <v>92</v>
          </cell>
          <cell r="F18">
            <v>88</v>
          </cell>
          <cell r="G18">
            <v>96</v>
          </cell>
          <cell r="H18">
            <v>95</v>
          </cell>
          <cell r="I18">
            <v>95</v>
          </cell>
          <cell r="J18">
            <v>95</v>
          </cell>
          <cell r="K18">
            <v>95</v>
          </cell>
          <cell r="L18">
            <v>94</v>
          </cell>
        </row>
        <row r="19">
          <cell r="C19">
            <v>89</v>
          </cell>
          <cell r="D19">
            <v>90</v>
          </cell>
          <cell r="E19">
            <v>94</v>
          </cell>
          <cell r="F19">
            <v>87</v>
          </cell>
          <cell r="G19">
            <v>97</v>
          </cell>
          <cell r="H19">
            <v>98</v>
          </cell>
          <cell r="I19">
            <v>93</v>
          </cell>
          <cell r="J19">
            <v>93</v>
          </cell>
          <cell r="K19">
            <v>92</v>
          </cell>
          <cell r="L19">
            <v>95</v>
          </cell>
        </row>
        <row r="20">
          <cell r="C20">
            <v>97</v>
          </cell>
          <cell r="D20">
            <v>97</v>
          </cell>
          <cell r="E20">
            <v>97</v>
          </cell>
          <cell r="F20">
            <v>94</v>
          </cell>
          <cell r="G20">
            <v>98</v>
          </cell>
          <cell r="H20">
            <v>96</v>
          </cell>
          <cell r="I20">
            <v>95</v>
          </cell>
          <cell r="J20">
            <v>96</v>
          </cell>
          <cell r="K20">
            <v>98</v>
          </cell>
          <cell r="L20">
            <v>96</v>
          </cell>
        </row>
        <row r="21">
          <cell r="C21">
            <v>92</v>
          </cell>
          <cell r="D21">
            <v>92</v>
          </cell>
          <cell r="E21">
            <v>91</v>
          </cell>
          <cell r="F21">
            <v>89</v>
          </cell>
          <cell r="G21">
            <v>98</v>
          </cell>
          <cell r="H21">
            <v>96</v>
          </cell>
          <cell r="I21">
            <v>96</v>
          </cell>
          <cell r="J21">
            <v>95</v>
          </cell>
          <cell r="K21">
            <v>94</v>
          </cell>
          <cell r="L21">
            <v>95</v>
          </cell>
        </row>
        <row r="22">
          <cell r="C22">
            <v>98</v>
          </cell>
          <cell r="D22">
            <v>98</v>
          </cell>
          <cell r="E22">
            <v>97</v>
          </cell>
          <cell r="F22">
            <v>91</v>
          </cell>
          <cell r="G22">
            <v>99</v>
          </cell>
          <cell r="H22">
            <v>96</v>
          </cell>
          <cell r="I22">
            <v>97</v>
          </cell>
          <cell r="J22">
            <v>97</v>
          </cell>
          <cell r="K22">
            <v>97</v>
          </cell>
          <cell r="L22">
            <v>96</v>
          </cell>
        </row>
        <row r="23">
          <cell r="C23">
            <v>95</v>
          </cell>
          <cell r="D23">
            <v>98</v>
          </cell>
          <cell r="E23">
            <v>95</v>
          </cell>
          <cell r="F23">
            <v>89</v>
          </cell>
          <cell r="G23">
            <v>97</v>
          </cell>
          <cell r="H23">
            <v>98</v>
          </cell>
          <cell r="I23">
            <v>87</v>
          </cell>
          <cell r="J23">
            <v>95</v>
          </cell>
          <cell r="K23">
            <v>95</v>
          </cell>
          <cell r="L23">
            <v>95</v>
          </cell>
        </row>
        <row r="24">
          <cell r="C24">
            <v>95</v>
          </cell>
          <cell r="D24">
            <v>98</v>
          </cell>
          <cell r="E24">
            <v>94</v>
          </cell>
          <cell r="F24">
            <v>92</v>
          </cell>
          <cell r="G24">
            <v>99</v>
          </cell>
          <cell r="H24">
            <v>98</v>
          </cell>
          <cell r="I24">
            <v>97</v>
          </cell>
          <cell r="J24">
            <v>96</v>
          </cell>
          <cell r="K24">
            <v>97</v>
          </cell>
          <cell r="L24">
            <v>96</v>
          </cell>
        </row>
        <row r="25">
          <cell r="C25">
            <v>97</v>
          </cell>
          <cell r="D25">
            <v>97</v>
          </cell>
          <cell r="E25">
            <v>95</v>
          </cell>
          <cell r="F25">
            <v>90</v>
          </cell>
          <cell r="G25">
            <v>98</v>
          </cell>
          <cell r="H25">
            <v>95</v>
          </cell>
          <cell r="I25">
            <v>96</v>
          </cell>
          <cell r="J25">
            <v>96</v>
          </cell>
          <cell r="K25">
            <v>94</v>
          </cell>
          <cell r="L25">
            <v>95</v>
          </cell>
        </row>
        <row r="26">
          <cell r="C26">
            <v>94</v>
          </cell>
          <cell r="D26">
            <v>97</v>
          </cell>
          <cell r="E26">
            <v>97</v>
          </cell>
          <cell r="F26">
            <v>92</v>
          </cell>
          <cell r="G26">
            <v>98</v>
          </cell>
          <cell r="H26">
            <v>98</v>
          </cell>
          <cell r="I26">
            <v>97</v>
          </cell>
          <cell r="J26">
            <v>97</v>
          </cell>
          <cell r="K26">
            <v>96</v>
          </cell>
          <cell r="L26">
            <v>94</v>
          </cell>
        </row>
        <row r="27">
          <cell r="C27">
            <v>95</v>
          </cell>
          <cell r="D27">
            <v>99</v>
          </cell>
          <cell r="E27">
            <v>98</v>
          </cell>
          <cell r="F27">
            <v>89</v>
          </cell>
          <cell r="G27">
            <v>97</v>
          </cell>
          <cell r="H27">
            <v>98</v>
          </cell>
          <cell r="I27">
            <v>87</v>
          </cell>
          <cell r="J27">
            <v>97</v>
          </cell>
          <cell r="K27">
            <v>96</v>
          </cell>
          <cell r="L27">
            <v>96</v>
          </cell>
        </row>
        <row r="28">
          <cell r="C28">
            <v>91</v>
          </cell>
          <cell r="D28">
            <v>94</v>
          </cell>
          <cell r="E28">
            <v>93</v>
          </cell>
          <cell r="F28">
            <v>91</v>
          </cell>
          <cell r="G28">
            <v>94</v>
          </cell>
          <cell r="H28">
            <v>95</v>
          </cell>
          <cell r="I28">
            <v>89</v>
          </cell>
          <cell r="J28">
            <v>96</v>
          </cell>
          <cell r="K28">
            <v>92</v>
          </cell>
          <cell r="L28">
            <v>96</v>
          </cell>
        </row>
        <row r="29">
          <cell r="C29">
            <v>90</v>
          </cell>
          <cell r="D29">
            <v>96</v>
          </cell>
          <cell r="E29">
            <v>94</v>
          </cell>
          <cell r="F29">
            <v>92</v>
          </cell>
          <cell r="G29">
            <v>97</v>
          </cell>
          <cell r="H29">
            <v>98</v>
          </cell>
          <cell r="I29">
            <v>87</v>
          </cell>
          <cell r="J29">
            <v>94</v>
          </cell>
          <cell r="K29">
            <v>95</v>
          </cell>
          <cell r="L29">
            <v>95</v>
          </cell>
        </row>
        <row r="30">
          <cell r="C30">
            <v>96</v>
          </cell>
          <cell r="D30">
            <v>98</v>
          </cell>
          <cell r="E30">
            <v>98</v>
          </cell>
          <cell r="F30">
            <v>94</v>
          </cell>
          <cell r="G30">
            <v>99</v>
          </cell>
          <cell r="H30">
            <v>98</v>
          </cell>
          <cell r="I30">
            <v>98</v>
          </cell>
          <cell r="J30">
            <v>97</v>
          </cell>
          <cell r="K30">
            <v>98</v>
          </cell>
          <cell r="L30">
            <v>96</v>
          </cell>
        </row>
      </sheetData>
      <sheetData sheetId="6">
        <row r="11">
          <cell r="C11">
            <v>90</v>
          </cell>
          <cell r="D11">
            <v>93</v>
          </cell>
          <cell r="E11">
            <v>93</v>
          </cell>
          <cell r="F11">
            <v>90</v>
          </cell>
          <cell r="G11">
            <v>93</v>
          </cell>
          <cell r="H11">
            <v>88</v>
          </cell>
          <cell r="I11">
            <v>95</v>
          </cell>
          <cell r="J11">
            <v>93</v>
          </cell>
          <cell r="K11">
            <v>91</v>
          </cell>
          <cell r="L11">
            <v>94</v>
          </cell>
          <cell r="M11">
            <v>92</v>
          </cell>
        </row>
        <row r="12">
          <cell r="C12">
            <v>89</v>
          </cell>
          <cell r="D12">
            <v>90</v>
          </cell>
          <cell r="E12">
            <v>89</v>
          </cell>
          <cell r="F12">
            <v>88</v>
          </cell>
          <cell r="G12">
            <v>92</v>
          </cell>
          <cell r="H12">
            <v>85</v>
          </cell>
          <cell r="I12">
            <v>93</v>
          </cell>
          <cell r="J12">
            <v>93</v>
          </cell>
          <cell r="K12">
            <v>87</v>
          </cell>
          <cell r="L12">
            <v>91</v>
          </cell>
          <cell r="M12">
            <v>90</v>
          </cell>
        </row>
        <row r="13">
          <cell r="C13">
            <v>93</v>
          </cell>
          <cell r="D13">
            <v>95</v>
          </cell>
          <cell r="E13">
            <v>96</v>
          </cell>
          <cell r="F13">
            <v>96</v>
          </cell>
          <cell r="G13">
            <v>97</v>
          </cell>
          <cell r="H13">
            <v>96</v>
          </cell>
          <cell r="I13">
            <v>98</v>
          </cell>
          <cell r="J13">
            <v>95</v>
          </cell>
          <cell r="K13">
            <v>96</v>
          </cell>
          <cell r="L13">
            <v>94</v>
          </cell>
          <cell r="M13">
            <v>96</v>
          </cell>
        </row>
        <row r="14">
          <cell r="C14">
            <v>88</v>
          </cell>
          <cell r="D14">
            <v>92</v>
          </cell>
          <cell r="E14">
            <v>93</v>
          </cell>
          <cell r="F14">
            <v>88</v>
          </cell>
          <cell r="G14">
            <v>91</v>
          </cell>
          <cell r="H14">
            <v>91</v>
          </cell>
          <cell r="I14">
            <v>94</v>
          </cell>
          <cell r="J14">
            <v>93</v>
          </cell>
          <cell r="K14">
            <v>91</v>
          </cell>
          <cell r="L14">
            <v>92</v>
          </cell>
          <cell r="M14">
            <v>91</v>
          </cell>
        </row>
        <row r="15">
          <cell r="C15">
            <v>90</v>
          </cell>
          <cell r="D15">
            <v>92</v>
          </cell>
          <cell r="E15">
            <v>95</v>
          </cell>
          <cell r="F15">
            <v>93</v>
          </cell>
          <cell r="G15">
            <v>93</v>
          </cell>
          <cell r="H15">
            <v>94</v>
          </cell>
          <cell r="I15">
            <v>95</v>
          </cell>
          <cell r="J15">
            <v>94</v>
          </cell>
          <cell r="K15">
            <v>95</v>
          </cell>
          <cell r="L15">
            <v>94</v>
          </cell>
          <cell r="M15">
            <v>94</v>
          </cell>
        </row>
        <row r="16">
          <cell r="C16">
            <v>95</v>
          </cell>
          <cell r="D16">
            <v>94</v>
          </cell>
          <cell r="E16">
            <v>97</v>
          </cell>
          <cell r="F16">
            <v>96</v>
          </cell>
          <cell r="G16">
            <v>97</v>
          </cell>
          <cell r="H16">
            <v>93</v>
          </cell>
          <cell r="I16">
            <v>95</v>
          </cell>
          <cell r="J16">
            <v>95</v>
          </cell>
          <cell r="K16">
            <v>96</v>
          </cell>
          <cell r="L16">
            <v>95</v>
          </cell>
          <cell r="M16">
            <v>95</v>
          </cell>
        </row>
        <row r="17">
          <cell r="C17">
            <v>93</v>
          </cell>
          <cell r="D17">
            <v>95</v>
          </cell>
          <cell r="E17">
            <v>93</v>
          </cell>
          <cell r="F17">
            <v>93</v>
          </cell>
          <cell r="G17">
            <v>97</v>
          </cell>
          <cell r="H17">
            <v>93</v>
          </cell>
          <cell r="I17">
            <v>95</v>
          </cell>
          <cell r="J17">
            <v>94</v>
          </cell>
          <cell r="K17">
            <v>93</v>
          </cell>
          <cell r="L17">
            <v>94</v>
          </cell>
          <cell r="M17">
            <v>94</v>
          </cell>
        </row>
        <row r="18">
          <cell r="C18">
            <v>89</v>
          </cell>
          <cell r="D18">
            <v>91</v>
          </cell>
          <cell r="E18">
            <v>91</v>
          </cell>
          <cell r="F18">
            <v>88</v>
          </cell>
          <cell r="G18">
            <v>93</v>
          </cell>
          <cell r="H18">
            <v>88</v>
          </cell>
          <cell r="I18">
            <v>94</v>
          </cell>
          <cell r="J18">
            <v>93</v>
          </cell>
          <cell r="K18">
            <v>88</v>
          </cell>
          <cell r="L18">
            <v>92</v>
          </cell>
          <cell r="M18">
            <v>91</v>
          </cell>
        </row>
        <row r="19">
          <cell r="C19">
            <v>84</v>
          </cell>
          <cell r="D19">
            <v>89</v>
          </cell>
          <cell r="E19">
            <v>91</v>
          </cell>
          <cell r="F19">
            <v>88</v>
          </cell>
          <cell r="G19">
            <v>91</v>
          </cell>
          <cell r="H19">
            <v>88</v>
          </cell>
          <cell r="I19">
            <v>93</v>
          </cell>
          <cell r="J19">
            <v>91</v>
          </cell>
          <cell r="K19">
            <v>89</v>
          </cell>
          <cell r="L19">
            <v>91</v>
          </cell>
          <cell r="M19">
            <v>90</v>
          </cell>
        </row>
        <row r="20">
          <cell r="C20">
            <v>94</v>
          </cell>
          <cell r="D20">
            <v>95</v>
          </cell>
          <cell r="E20">
            <v>93</v>
          </cell>
          <cell r="F20">
            <v>95</v>
          </cell>
          <cell r="G20">
            <v>97</v>
          </cell>
          <cell r="H20">
            <v>93</v>
          </cell>
          <cell r="I20">
            <v>97</v>
          </cell>
          <cell r="J20">
            <v>96</v>
          </cell>
          <cell r="K20">
            <v>98</v>
          </cell>
          <cell r="L20">
            <v>94</v>
          </cell>
          <cell r="M20">
            <v>95</v>
          </cell>
        </row>
        <row r="21">
          <cell r="C21">
            <v>91</v>
          </cell>
          <cell r="D21">
            <v>91</v>
          </cell>
          <cell r="E21">
            <v>90</v>
          </cell>
          <cell r="F21">
            <v>90</v>
          </cell>
          <cell r="G21">
            <v>94</v>
          </cell>
          <cell r="H21">
            <v>88</v>
          </cell>
          <cell r="I21">
            <v>95</v>
          </cell>
          <cell r="J21">
            <v>95</v>
          </cell>
          <cell r="K21">
            <v>90</v>
          </cell>
          <cell r="L21">
            <v>92</v>
          </cell>
          <cell r="M21">
            <v>92</v>
          </cell>
        </row>
        <row r="22">
          <cell r="C22">
            <v>95</v>
          </cell>
          <cell r="D22">
            <v>94</v>
          </cell>
          <cell r="E22">
            <v>93</v>
          </cell>
          <cell r="F22">
            <v>95</v>
          </cell>
          <cell r="G22">
            <v>98</v>
          </cell>
          <cell r="H22">
            <v>94</v>
          </cell>
          <cell r="I22">
            <v>97</v>
          </cell>
          <cell r="J22">
            <v>95</v>
          </cell>
          <cell r="K22">
            <v>94</v>
          </cell>
          <cell r="L22">
            <v>95</v>
          </cell>
          <cell r="M22">
            <v>95</v>
          </cell>
        </row>
        <row r="23">
          <cell r="C23">
            <v>93</v>
          </cell>
          <cell r="D23">
            <v>92</v>
          </cell>
          <cell r="E23">
            <v>93</v>
          </cell>
          <cell r="F23">
            <v>92</v>
          </cell>
          <cell r="G23">
            <v>94</v>
          </cell>
          <cell r="H23">
            <v>91</v>
          </cell>
          <cell r="I23">
            <v>91</v>
          </cell>
          <cell r="J23">
            <v>94</v>
          </cell>
          <cell r="K23">
            <v>93</v>
          </cell>
          <cell r="L23">
            <v>93</v>
          </cell>
          <cell r="M23">
            <v>93</v>
          </cell>
        </row>
        <row r="24">
          <cell r="C24">
            <v>94</v>
          </cell>
          <cell r="D24">
            <v>94</v>
          </cell>
          <cell r="E24">
            <v>94</v>
          </cell>
          <cell r="F24">
            <v>93</v>
          </cell>
          <cell r="G24">
            <v>98</v>
          </cell>
          <cell r="H24">
            <v>92</v>
          </cell>
          <cell r="I24">
            <v>97</v>
          </cell>
          <cell r="J24">
            <v>95</v>
          </cell>
          <cell r="K24">
            <v>96</v>
          </cell>
          <cell r="L24">
            <v>95</v>
          </cell>
          <cell r="M24">
            <v>95</v>
          </cell>
        </row>
        <row r="25">
          <cell r="C25">
            <v>93</v>
          </cell>
          <cell r="D25">
            <v>93</v>
          </cell>
          <cell r="E25">
            <v>93</v>
          </cell>
          <cell r="F25">
            <v>92</v>
          </cell>
          <cell r="G25">
            <v>94</v>
          </cell>
          <cell r="H25">
            <v>90</v>
          </cell>
          <cell r="I25">
            <v>95</v>
          </cell>
          <cell r="J25">
            <v>94</v>
          </cell>
          <cell r="K25">
            <v>92</v>
          </cell>
          <cell r="L25">
            <v>93</v>
          </cell>
          <cell r="M25">
            <v>93</v>
          </cell>
        </row>
        <row r="26">
          <cell r="C26">
            <v>94</v>
          </cell>
          <cell r="D26">
            <v>93</v>
          </cell>
          <cell r="E26">
            <v>95</v>
          </cell>
          <cell r="F26">
            <v>96</v>
          </cell>
          <cell r="G26">
            <v>97</v>
          </cell>
          <cell r="H26">
            <v>91</v>
          </cell>
          <cell r="I26">
            <v>98</v>
          </cell>
          <cell r="J26">
            <v>95</v>
          </cell>
          <cell r="K26">
            <v>97</v>
          </cell>
          <cell r="L26">
            <v>94</v>
          </cell>
          <cell r="M26">
            <v>95</v>
          </cell>
        </row>
        <row r="27">
          <cell r="C27">
            <v>93</v>
          </cell>
          <cell r="D27">
            <v>95</v>
          </cell>
          <cell r="E27">
            <v>96</v>
          </cell>
          <cell r="F27">
            <v>95</v>
          </cell>
          <cell r="G27">
            <v>96</v>
          </cell>
          <cell r="H27">
            <v>93</v>
          </cell>
          <cell r="I27">
            <v>93</v>
          </cell>
          <cell r="J27">
            <v>96</v>
          </cell>
          <cell r="K27">
            <v>97</v>
          </cell>
          <cell r="L27">
            <v>95</v>
          </cell>
          <cell r="M27">
            <v>95</v>
          </cell>
        </row>
        <row r="28">
          <cell r="C28">
            <v>91</v>
          </cell>
          <cell r="D28">
            <v>92</v>
          </cell>
          <cell r="E28">
            <v>92</v>
          </cell>
          <cell r="F28">
            <v>91</v>
          </cell>
          <cell r="G28">
            <v>94</v>
          </cell>
          <cell r="H28">
            <v>92</v>
          </cell>
          <cell r="I28">
            <v>92</v>
          </cell>
          <cell r="J28">
            <v>94</v>
          </cell>
          <cell r="K28">
            <v>89</v>
          </cell>
          <cell r="L28">
            <v>94</v>
          </cell>
          <cell r="M28">
            <v>92</v>
          </cell>
        </row>
        <row r="29">
          <cell r="C29">
            <v>89</v>
          </cell>
          <cell r="D29">
            <v>92</v>
          </cell>
          <cell r="E29">
            <v>93</v>
          </cell>
          <cell r="F29">
            <v>92</v>
          </cell>
          <cell r="G29">
            <v>93</v>
          </cell>
          <cell r="H29">
            <v>91</v>
          </cell>
          <cell r="I29">
            <v>93</v>
          </cell>
          <cell r="J29">
            <v>94</v>
          </cell>
          <cell r="K29">
            <v>94</v>
          </cell>
          <cell r="L29">
            <v>92</v>
          </cell>
          <cell r="M29">
            <v>92</v>
          </cell>
        </row>
        <row r="30">
          <cell r="C30">
            <v>94</v>
          </cell>
          <cell r="D30">
            <v>94</v>
          </cell>
          <cell r="E30">
            <v>95</v>
          </cell>
          <cell r="F30">
            <v>96</v>
          </cell>
          <cell r="G30">
            <v>98</v>
          </cell>
          <cell r="H30">
            <v>94</v>
          </cell>
          <cell r="I30">
            <v>96</v>
          </cell>
          <cell r="J30">
            <v>96</v>
          </cell>
          <cell r="K30">
            <v>99</v>
          </cell>
          <cell r="L30">
            <v>95</v>
          </cell>
          <cell r="M30">
            <v>96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R41"/>
  <sheetViews>
    <sheetView tabSelected="1" view="pageBreakPreview" zoomScale="43" zoomScaleNormal="34" zoomScaleSheetLayoutView="43" zoomScalePageLayoutView="58" workbookViewId="0">
      <selection activeCell="AZ62" sqref="AZ62"/>
    </sheetView>
  </sheetViews>
  <sheetFormatPr defaultRowHeight="14.4" x14ac:dyDescent="0.3"/>
  <cols>
    <col min="1" max="1" width="4.77734375" style="3" customWidth="1"/>
    <col min="2" max="2" width="5.77734375" style="3" customWidth="1"/>
    <col min="3" max="3" width="6.77734375" style="3" customWidth="1"/>
    <col min="4" max="9" width="4.44140625" style="3" customWidth="1"/>
    <col min="10" max="10" width="5.33203125" style="3" customWidth="1"/>
    <col min="11" max="14" width="4.44140625" style="3" customWidth="1"/>
    <col min="15" max="15" width="8" style="3" customWidth="1"/>
    <col min="16" max="16" width="1.44140625" style="3" customWidth="1"/>
    <col min="17" max="17" width="21.77734375" style="3" customWidth="1"/>
    <col min="18" max="18" width="4.77734375" style="3" customWidth="1"/>
    <col min="19" max="19" width="5.77734375" style="3" customWidth="1"/>
    <col min="20" max="20" width="6.77734375" style="3" customWidth="1"/>
    <col min="21" max="26" width="4.44140625" style="3" customWidth="1"/>
    <col min="27" max="27" width="5.33203125" style="3" customWidth="1"/>
    <col min="28" max="31" width="4.44140625" style="3" customWidth="1"/>
    <col min="32" max="32" width="8" style="3" customWidth="1"/>
    <col min="33" max="33" width="1.44140625" style="3" customWidth="1"/>
    <col min="34" max="34" width="4.77734375" style="3" customWidth="1"/>
    <col min="35" max="35" width="5.77734375" style="3" customWidth="1"/>
    <col min="36" max="36" width="6.77734375" style="3" customWidth="1"/>
    <col min="37" max="42" width="4.44140625" style="3" customWidth="1"/>
    <col min="43" max="43" width="5.33203125" style="3" customWidth="1"/>
    <col min="44" max="47" width="4.44140625" style="3" customWidth="1"/>
    <col min="48" max="48" width="8" style="3" customWidth="1"/>
    <col min="49" max="49" width="1.44140625" style="3" customWidth="1"/>
    <col min="50" max="50" width="21.77734375" style="3" customWidth="1"/>
    <col min="51" max="51" width="4.77734375" style="3" customWidth="1"/>
    <col min="52" max="52" width="5.77734375" style="3" customWidth="1"/>
    <col min="53" max="53" width="6.77734375" style="3" customWidth="1"/>
    <col min="54" max="59" width="4.44140625" style="3" customWidth="1"/>
    <col min="60" max="60" width="5.33203125" style="3" customWidth="1"/>
    <col min="61" max="64" width="4.44140625" style="3" customWidth="1"/>
    <col min="65" max="65" width="8" style="3" customWidth="1"/>
    <col min="66" max="66" width="1.44140625" style="3" customWidth="1"/>
    <col min="67" max="67" width="4.77734375" style="3" customWidth="1"/>
    <col min="68" max="68" width="5.77734375" style="3" customWidth="1"/>
    <col min="69" max="69" width="6.77734375" style="3" customWidth="1"/>
    <col min="70" max="75" width="4.44140625" style="3" customWidth="1"/>
    <col min="76" max="76" width="5.33203125" style="3" customWidth="1"/>
    <col min="77" max="80" width="4.44140625" style="3" customWidth="1"/>
    <col min="81" max="81" width="8" style="3" customWidth="1"/>
    <col min="82" max="82" width="1.44140625" style="3" customWidth="1"/>
    <col min="83" max="83" width="21.77734375" style="3" customWidth="1"/>
    <col min="84" max="84" width="4.77734375" style="3" customWidth="1"/>
    <col min="85" max="85" width="5.77734375" style="3" customWidth="1"/>
    <col min="86" max="86" width="6.77734375" style="3" customWidth="1"/>
    <col min="87" max="92" width="4.44140625" style="3" customWidth="1"/>
    <col min="93" max="93" width="5.33203125" style="3" customWidth="1"/>
    <col min="94" max="97" width="4.44140625" style="3" customWidth="1"/>
    <col min="98" max="98" width="8" style="3" customWidth="1"/>
    <col min="99" max="99" width="1.44140625" style="3" customWidth="1"/>
    <col min="100" max="100" width="4.77734375" style="3" customWidth="1"/>
    <col min="101" max="101" width="5.77734375" style="3" customWidth="1"/>
    <col min="102" max="102" width="6.77734375" style="3" customWidth="1"/>
    <col min="103" max="108" width="4.44140625" style="3" customWidth="1"/>
    <col min="109" max="109" width="5.33203125" style="3" customWidth="1"/>
    <col min="110" max="113" width="4.44140625" style="3" customWidth="1"/>
    <col min="114" max="114" width="8" style="3" customWidth="1"/>
    <col min="115" max="115" width="1.44140625" style="3" customWidth="1"/>
    <col min="116" max="116" width="21.77734375" style="3" customWidth="1"/>
    <col min="117" max="117" width="4.77734375" style="3" customWidth="1"/>
    <col min="118" max="118" width="5.77734375" style="3" customWidth="1"/>
    <col min="119" max="119" width="6.77734375" style="3" customWidth="1"/>
    <col min="120" max="125" width="4.44140625" style="3" customWidth="1"/>
    <col min="126" max="126" width="5.33203125" style="3" customWidth="1"/>
    <col min="127" max="130" width="4.44140625" style="3" customWidth="1"/>
    <col min="131" max="131" width="8" style="3" customWidth="1"/>
    <col min="132" max="132" width="1.44140625" style="3" customWidth="1"/>
    <col min="133" max="133" width="4.77734375" style="3" customWidth="1"/>
    <col min="134" max="134" width="5.77734375" style="3" customWidth="1"/>
    <col min="135" max="135" width="6.77734375" style="3" customWidth="1"/>
    <col min="136" max="141" width="4.44140625" style="3" customWidth="1"/>
    <col min="142" max="142" width="5.33203125" style="3" customWidth="1"/>
    <col min="143" max="146" width="4.44140625" style="3" customWidth="1"/>
    <col min="147" max="147" width="8" style="3" customWidth="1"/>
    <col min="148" max="148" width="1.44140625" style="3" customWidth="1"/>
    <col min="149" max="149" width="21.77734375" style="3" customWidth="1"/>
    <col min="150" max="150" width="4.77734375" style="3" customWidth="1"/>
    <col min="151" max="151" width="5.77734375" style="3" customWidth="1"/>
    <col min="152" max="152" width="6.77734375" style="3" customWidth="1"/>
    <col min="153" max="158" width="4.44140625" style="3" customWidth="1"/>
    <col min="159" max="159" width="5.33203125" style="3" customWidth="1"/>
    <col min="160" max="163" width="4.44140625" style="3" customWidth="1"/>
    <col min="164" max="164" width="8" style="3" customWidth="1"/>
    <col min="165" max="165" width="1.44140625" style="3" customWidth="1"/>
    <col min="166" max="166" width="4.77734375" style="3" customWidth="1"/>
    <col min="167" max="167" width="5.77734375" style="3" customWidth="1"/>
    <col min="168" max="168" width="6.77734375" style="3" customWidth="1"/>
    <col min="169" max="174" width="4.44140625" style="3" customWidth="1"/>
    <col min="175" max="175" width="5.33203125" style="3" customWidth="1"/>
    <col min="176" max="179" width="4.44140625" style="3" customWidth="1"/>
    <col min="180" max="180" width="8" style="3" customWidth="1"/>
    <col min="181" max="181" width="1.44140625" style="3" customWidth="1"/>
    <col min="182" max="182" width="21.77734375" style="3" customWidth="1"/>
    <col min="183" max="183" width="4.77734375" style="3" customWidth="1"/>
    <col min="184" max="184" width="5.77734375" style="3" customWidth="1"/>
    <col min="185" max="185" width="6.77734375" style="3" customWidth="1"/>
    <col min="186" max="191" width="4.44140625" style="3" customWidth="1"/>
    <col min="192" max="192" width="5.33203125" style="3" customWidth="1"/>
    <col min="193" max="196" width="4.44140625" style="3" customWidth="1"/>
    <col min="197" max="197" width="8" style="3" customWidth="1"/>
    <col min="198" max="198" width="1.44140625" style="3" customWidth="1"/>
    <col min="199" max="199" width="4.77734375" style="3" customWidth="1"/>
    <col min="200" max="200" width="5.77734375" style="3" customWidth="1"/>
    <col min="201" max="201" width="6.77734375" style="3" customWidth="1"/>
    <col min="202" max="207" width="4.44140625" style="3" customWidth="1"/>
    <col min="208" max="208" width="5.33203125" style="3" customWidth="1"/>
    <col min="209" max="212" width="4.44140625" style="3" customWidth="1"/>
    <col min="213" max="213" width="8" style="3" customWidth="1"/>
    <col min="214" max="214" width="1.44140625" style="3" customWidth="1"/>
    <col min="215" max="215" width="21.77734375" style="3" customWidth="1"/>
    <col min="216" max="216" width="4.77734375" style="3" customWidth="1"/>
    <col min="217" max="217" width="5.77734375" style="3" customWidth="1"/>
    <col min="218" max="218" width="6.77734375" style="3" customWidth="1"/>
    <col min="219" max="224" width="4.44140625" style="3" customWidth="1"/>
    <col min="225" max="225" width="5.33203125" style="3" customWidth="1"/>
    <col min="226" max="229" width="4.44140625" style="3" customWidth="1"/>
    <col min="230" max="230" width="8" style="3" customWidth="1"/>
    <col min="231" max="231" width="1.44140625" style="3" customWidth="1"/>
    <col min="232" max="232" width="4.77734375" style="3" customWidth="1"/>
    <col min="233" max="233" width="5.77734375" style="3" customWidth="1"/>
    <col min="234" max="234" width="6.77734375" style="3" customWidth="1"/>
    <col min="235" max="240" width="4.44140625" style="3" customWidth="1"/>
    <col min="241" max="241" width="5.33203125" style="3" customWidth="1"/>
    <col min="242" max="245" width="4.44140625" style="3" customWidth="1"/>
    <col min="246" max="246" width="8" style="3" customWidth="1"/>
    <col min="247" max="247" width="1.44140625" style="3" customWidth="1"/>
    <col min="248" max="248" width="21.77734375" style="3" customWidth="1"/>
    <col min="249" max="249" width="4.77734375" style="3" customWidth="1"/>
    <col min="250" max="250" width="5.77734375" style="3" customWidth="1"/>
    <col min="251" max="251" width="6.77734375" style="3" customWidth="1"/>
    <col min="252" max="257" width="4.44140625" style="3" customWidth="1"/>
    <col min="258" max="258" width="5.33203125" style="3" customWidth="1"/>
    <col min="259" max="262" width="4.44140625" style="3" customWidth="1"/>
    <col min="263" max="263" width="8" style="3" customWidth="1"/>
    <col min="264" max="264" width="1.44140625" style="3" customWidth="1"/>
    <col min="265" max="265" width="4.77734375" style="3" customWidth="1"/>
    <col min="266" max="266" width="5.77734375" style="3" customWidth="1"/>
    <col min="267" max="267" width="6.77734375" style="3" customWidth="1"/>
    <col min="268" max="273" width="4.44140625" style="3" customWidth="1"/>
    <col min="274" max="274" width="5.33203125" style="3" customWidth="1"/>
    <col min="275" max="278" width="4.44140625" style="3" customWidth="1"/>
    <col min="279" max="279" width="8" style="3" customWidth="1"/>
    <col min="280" max="280" width="1.44140625" style="3" customWidth="1"/>
    <col min="281" max="281" width="21.77734375" style="3" customWidth="1"/>
    <col min="282" max="282" width="4.77734375" style="3" customWidth="1"/>
    <col min="283" max="283" width="5.77734375" style="3" customWidth="1"/>
    <col min="284" max="284" width="6.77734375" style="3" customWidth="1"/>
    <col min="285" max="290" width="4.44140625" style="3" customWidth="1"/>
    <col min="291" max="291" width="5.33203125" style="3" customWidth="1"/>
    <col min="292" max="295" width="4.44140625" style="3" customWidth="1"/>
    <col min="296" max="296" width="8" style="3" customWidth="1"/>
    <col min="297" max="297" width="1.44140625" style="3" customWidth="1"/>
    <col min="298" max="298" width="4.77734375" style="3" customWidth="1"/>
    <col min="299" max="299" width="5.77734375" style="3" customWidth="1"/>
    <col min="300" max="300" width="6.77734375" style="3" customWidth="1"/>
    <col min="301" max="306" width="4.44140625" style="3" customWidth="1"/>
    <col min="307" max="307" width="5.33203125" style="3" customWidth="1"/>
    <col min="308" max="311" width="4.44140625" style="3" customWidth="1"/>
    <col min="312" max="312" width="8" style="3" customWidth="1"/>
    <col min="313" max="313" width="1.44140625" style="3" customWidth="1"/>
    <col min="314" max="314" width="21.77734375" style="3" customWidth="1"/>
    <col min="315" max="315" width="4.77734375" style="3" customWidth="1"/>
    <col min="316" max="316" width="5.77734375" style="3" customWidth="1"/>
    <col min="317" max="317" width="6.77734375" style="3" customWidth="1"/>
    <col min="318" max="323" width="4.44140625" style="3" customWidth="1"/>
    <col min="324" max="324" width="5.33203125" style="3" customWidth="1"/>
    <col min="325" max="328" width="4.44140625" style="3" customWidth="1"/>
    <col min="329" max="329" width="8" style="3" customWidth="1"/>
    <col min="330" max="330" width="1.44140625" style="3" customWidth="1"/>
    <col min="331" max="16384" width="8.88671875" style="3"/>
  </cols>
  <sheetData>
    <row r="1" spans="1:330" s="1" customFormat="1" ht="15.6" x14ac:dyDescent="0.3">
      <c r="B1" s="2" t="s">
        <v>0</v>
      </c>
      <c r="C1" s="2"/>
      <c r="J1" s="1" t="s">
        <v>1</v>
      </c>
      <c r="K1" s="81" t="str">
        <f>[1]SUMMARY!C4</f>
        <v>108065140001</v>
      </c>
      <c r="L1" s="81"/>
      <c r="M1" s="81"/>
      <c r="N1" s="81"/>
      <c r="O1" s="81"/>
      <c r="S1" s="2" t="s">
        <v>0</v>
      </c>
      <c r="T1" s="2"/>
      <c r="AA1" s="1" t="s">
        <v>1</v>
      </c>
      <c r="AB1" s="81" t="str">
        <f>[1]SUMMARY!C5</f>
        <v>108064150089</v>
      </c>
      <c r="AC1" s="81"/>
      <c r="AD1" s="81"/>
      <c r="AE1" s="81"/>
      <c r="AF1" s="81"/>
      <c r="AI1" s="2" t="s">
        <v>0</v>
      </c>
      <c r="AJ1" s="2"/>
      <c r="AQ1" s="1" t="s">
        <v>1</v>
      </c>
      <c r="AR1" s="81" t="str">
        <f>[1]SUMMARY!C6</f>
        <v>108061140015</v>
      </c>
      <c r="AS1" s="81"/>
      <c r="AT1" s="81"/>
      <c r="AU1" s="81"/>
      <c r="AV1" s="81"/>
      <c r="AZ1" s="2" t="s">
        <v>0</v>
      </c>
      <c r="BA1" s="2"/>
      <c r="BH1" s="1" t="s">
        <v>1</v>
      </c>
      <c r="BI1" s="81" t="str">
        <f>[1]SUMMARY!C7</f>
        <v>402253150119</v>
      </c>
      <c r="BJ1" s="81"/>
      <c r="BK1" s="81"/>
      <c r="BL1" s="81"/>
      <c r="BM1" s="81"/>
      <c r="BP1" s="2" t="s">
        <v>0</v>
      </c>
      <c r="BQ1" s="2"/>
      <c r="BX1" s="1" t="s">
        <v>1</v>
      </c>
      <c r="BY1" s="81" t="str">
        <f>[1]SUMMARY!C8</f>
        <v>402253150121</v>
      </c>
      <c r="BZ1" s="81"/>
      <c r="CA1" s="81"/>
      <c r="CB1" s="81"/>
      <c r="CC1" s="81"/>
      <c r="CG1" s="2" t="s">
        <v>0</v>
      </c>
      <c r="CH1" s="2"/>
      <c r="CO1" s="1" t="s">
        <v>1</v>
      </c>
      <c r="CP1" s="81" t="str">
        <f>[1]SUMMARY!C9</f>
        <v>108063140086</v>
      </c>
      <c r="CQ1" s="81"/>
      <c r="CR1" s="81"/>
      <c r="CS1" s="81"/>
      <c r="CT1" s="81"/>
      <c r="CW1" s="2" t="s">
        <v>0</v>
      </c>
      <c r="CX1" s="2"/>
      <c r="DE1" s="1" t="s">
        <v>1</v>
      </c>
      <c r="DF1" s="81" t="str">
        <f>[1]SUMMARY!C10</f>
        <v>108069140036</v>
      </c>
      <c r="DG1" s="81"/>
      <c r="DH1" s="81"/>
      <c r="DI1" s="81"/>
      <c r="DJ1" s="81"/>
      <c r="DN1" s="2" t="s">
        <v>0</v>
      </c>
      <c r="DO1" s="2"/>
      <c r="DV1" s="1" t="s">
        <v>1</v>
      </c>
      <c r="DW1" s="81" t="str">
        <f>[1]SUMMARY!C11</f>
        <v>424263150106</v>
      </c>
      <c r="DX1" s="81"/>
      <c r="DY1" s="81"/>
      <c r="DZ1" s="81"/>
      <c r="EA1" s="81"/>
      <c r="ED1" s="2" t="s">
        <v>0</v>
      </c>
      <c r="EE1" s="2"/>
      <c r="EL1" s="1" t="s">
        <v>1</v>
      </c>
      <c r="EM1" s="81" t="str">
        <f>[1]SUMMARY!C12</f>
        <v>108187140142</v>
      </c>
      <c r="EN1" s="81"/>
      <c r="EO1" s="81"/>
      <c r="EP1" s="81"/>
      <c r="EQ1" s="81"/>
      <c r="EU1" s="2" t="s">
        <v>0</v>
      </c>
      <c r="EV1" s="2"/>
      <c r="FC1" s="1" t="s">
        <v>1</v>
      </c>
      <c r="FD1" s="81" t="str">
        <f>[1]SUMMARY!C13</f>
        <v>108078140001</v>
      </c>
      <c r="FE1" s="81"/>
      <c r="FF1" s="81"/>
      <c r="FG1" s="81"/>
      <c r="FH1" s="81"/>
      <c r="FK1" s="2" t="s">
        <v>0</v>
      </c>
      <c r="FL1" s="2"/>
      <c r="FS1" s="1" t="s">
        <v>1</v>
      </c>
      <c r="FT1" s="81" t="str">
        <f>[1]SUMMARY!C14</f>
        <v>108043140172</v>
      </c>
      <c r="FU1" s="81"/>
      <c r="FV1" s="81"/>
      <c r="FW1" s="81"/>
      <c r="FX1" s="81"/>
      <c r="GB1" s="2" t="s">
        <v>0</v>
      </c>
      <c r="GC1" s="2"/>
      <c r="GJ1" s="1" t="s">
        <v>1</v>
      </c>
      <c r="GK1" s="81" t="str">
        <f>[1]SUMMARY!C15</f>
        <v>107945140116</v>
      </c>
      <c r="GL1" s="81"/>
      <c r="GM1" s="81"/>
      <c r="GN1" s="81"/>
      <c r="GO1" s="81"/>
      <c r="GR1" s="2" t="s">
        <v>0</v>
      </c>
      <c r="GS1" s="2"/>
      <c r="GZ1" s="1" t="s">
        <v>1</v>
      </c>
      <c r="HA1" s="81" t="str">
        <f>[1]SUMMARY!C16</f>
        <v>108068150005</v>
      </c>
      <c r="HB1" s="81"/>
      <c r="HC1" s="81"/>
      <c r="HD1" s="81"/>
      <c r="HE1" s="81"/>
      <c r="HI1" s="2" t="s">
        <v>0</v>
      </c>
      <c r="HJ1" s="2"/>
      <c r="HQ1" s="1" t="s">
        <v>1</v>
      </c>
      <c r="HR1" s="81" t="str">
        <f>[1]SUMMARY!C17</f>
        <v>108076140100</v>
      </c>
      <c r="HS1" s="81"/>
      <c r="HT1" s="81"/>
      <c r="HU1" s="81"/>
      <c r="HV1" s="81"/>
      <c r="HY1" s="2" t="s">
        <v>0</v>
      </c>
      <c r="HZ1" s="2"/>
      <c r="IG1" s="1" t="s">
        <v>1</v>
      </c>
      <c r="IH1" s="81" t="str">
        <f>[1]SUMMARY!C18</f>
        <v>108077140411</v>
      </c>
      <c r="II1" s="81"/>
      <c r="IJ1" s="81"/>
      <c r="IK1" s="81"/>
      <c r="IL1" s="81"/>
      <c r="IP1" s="2" t="s">
        <v>0</v>
      </c>
      <c r="IQ1" s="2"/>
      <c r="IX1" s="1" t="s">
        <v>1</v>
      </c>
      <c r="IY1" s="81" t="str">
        <f>[1]SUMMARY!C19</f>
        <v>108064140027</v>
      </c>
      <c r="IZ1" s="81"/>
      <c r="JA1" s="81"/>
      <c r="JB1" s="81"/>
      <c r="JC1" s="81"/>
      <c r="JF1" s="2" t="s">
        <v>0</v>
      </c>
      <c r="JG1" s="2"/>
      <c r="JN1" s="1" t="s">
        <v>1</v>
      </c>
      <c r="JO1" s="81" t="str">
        <f>[1]SUMMARY!C20</f>
        <v>424263150115</v>
      </c>
      <c r="JP1" s="81"/>
      <c r="JQ1" s="81"/>
      <c r="JR1" s="81"/>
      <c r="JS1" s="81"/>
      <c r="JW1" s="2" t="s">
        <v>0</v>
      </c>
      <c r="JX1" s="2"/>
      <c r="KE1" s="1" t="s">
        <v>1</v>
      </c>
      <c r="KF1" s="81" t="str">
        <f>[1]SUMMARY!C21</f>
        <v>108061140044</v>
      </c>
      <c r="KG1" s="81"/>
      <c r="KH1" s="81"/>
      <c r="KI1" s="81"/>
      <c r="KJ1" s="81"/>
      <c r="KM1" s="2" t="s">
        <v>0</v>
      </c>
      <c r="KN1" s="2"/>
      <c r="KU1" s="1" t="s">
        <v>1</v>
      </c>
      <c r="KV1" s="81" t="str">
        <f>[1]SUMMARY!C22</f>
        <v>402243150168</v>
      </c>
      <c r="KW1" s="81"/>
      <c r="KX1" s="81"/>
      <c r="KY1" s="81"/>
      <c r="KZ1" s="81"/>
      <c r="LD1" s="2" t="s">
        <v>0</v>
      </c>
      <c r="LE1" s="2"/>
      <c r="LL1" s="1" t="s">
        <v>1</v>
      </c>
      <c r="LM1" s="81" t="str">
        <f>[1]SUMMARY!C23</f>
        <v>164012140093</v>
      </c>
      <c r="LN1" s="81"/>
      <c r="LO1" s="81"/>
      <c r="LP1" s="81"/>
      <c r="LQ1" s="81"/>
    </row>
    <row r="2" spans="1:330" ht="20.399999999999999" customHeight="1" x14ac:dyDescent="0.3">
      <c r="D2" s="82" t="s">
        <v>2</v>
      </c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U2" s="82" t="s">
        <v>2</v>
      </c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K2" s="82" t="s">
        <v>2</v>
      </c>
      <c r="AL2" s="82"/>
      <c r="AM2" s="82"/>
      <c r="AN2" s="82"/>
      <c r="AO2" s="82"/>
      <c r="AP2" s="82"/>
      <c r="AQ2" s="82"/>
      <c r="AR2" s="82"/>
      <c r="AS2" s="82"/>
      <c r="AT2" s="82"/>
      <c r="AU2" s="82"/>
      <c r="AV2" s="82"/>
      <c r="AW2" s="82"/>
      <c r="BB2" s="82" t="s">
        <v>2</v>
      </c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R2" s="82" t="s">
        <v>2</v>
      </c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I2" s="82" t="s">
        <v>2</v>
      </c>
      <c r="CJ2" s="82"/>
      <c r="CK2" s="82"/>
      <c r="CL2" s="82"/>
      <c r="CM2" s="82"/>
      <c r="CN2" s="82"/>
      <c r="CO2" s="82"/>
      <c r="CP2" s="82"/>
      <c r="CQ2" s="82"/>
      <c r="CR2" s="82"/>
      <c r="CS2" s="82"/>
      <c r="CT2" s="82"/>
      <c r="CU2" s="82"/>
      <c r="CY2" s="82" t="s">
        <v>2</v>
      </c>
      <c r="CZ2" s="82"/>
      <c r="DA2" s="82"/>
      <c r="DB2" s="82"/>
      <c r="DC2" s="82"/>
      <c r="DD2" s="82"/>
      <c r="DE2" s="82"/>
      <c r="DF2" s="82"/>
      <c r="DG2" s="82"/>
      <c r="DH2" s="82"/>
      <c r="DI2" s="82"/>
      <c r="DJ2" s="82"/>
      <c r="DK2" s="82"/>
      <c r="DP2" s="82" t="s">
        <v>2</v>
      </c>
      <c r="DQ2" s="82"/>
      <c r="DR2" s="82"/>
      <c r="DS2" s="82"/>
      <c r="DT2" s="82"/>
      <c r="DU2" s="82"/>
      <c r="DV2" s="82"/>
      <c r="DW2" s="82"/>
      <c r="DX2" s="82"/>
      <c r="DY2" s="82"/>
      <c r="DZ2" s="82"/>
      <c r="EA2" s="82"/>
      <c r="EB2" s="82"/>
      <c r="EF2" s="82" t="s">
        <v>2</v>
      </c>
      <c r="EG2" s="82"/>
      <c r="EH2" s="82"/>
      <c r="EI2" s="82"/>
      <c r="EJ2" s="82"/>
      <c r="EK2" s="82"/>
      <c r="EL2" s="82"/>
      <c r="EM2" s="82"/>
      <c r="EN2" s="82"/>
      <c r="EO2" s="82"/>
      <c r="EP2" s="82"/>
      <c r="EQ2" s="82"/>
      <c r="ER2" s="82"/>
      <c r="EW2" s="82" t="s">
        <v>2</v>
      </c>
      <c r="EX2" s="82"/>
      <c r="EY2" s="82"/>
      <c r="EZ2" s="82"/>
      <c r="FA2" s="82"/>
      <c r="FB2" s="82"/>
      <c r="FC2" s="82"/>
      <c r="FD2" s="82"/>
      <c r="FE2" s="82"/>
      <c r="FF2" s="82"/>
      <c r="FG2" s="82"/>
      <c r="FH2" s="82"/>
      <c r="FI2" s="82"/>
      <c r="FM2" s="82" t="s">
        <v>2</v>
      </c>
      <c r="FN2" s="82"/>
      <c r="FO2" s="82"/>
      <c r="FP2" s="82"/>
      <c r="FQ2" s="82"/>
      <c r="FR2" s="82"/>
      <c r="FS2" s="82"/>
      <c r="FT2" s="82"/>
      <c r="FU2" s="82"/>
      <c r="FV2" s="82"/>
      <c r="FW2" s="82"/>
      <c r="FX2" s="82"/>
      <c r="FY2" s="82"/>
      <c r="GD2" s="82" t="s">
        <v>2</v>
      </c>
      <c r="GE2" s="82"/>
      <c r="GF2" s="82"/>
      <c r="GG2" s="82"/>
      <c r="GH2" s="82"/>
      <c r="GI2" s="82"/>
      <c r="GJ2" s="82"/>
      <c r="GK2" s="82"/>
      <c r="GL2" s="82"/>
      <c r="GM2" s="82"/>
      <c r="GN2" s="82"/>
      <c r="GO2" s="82"/>
      <c r="GP2" s="82"/>
      <c r="GT2" s="82" t="s">
        <v>2</v>
      </c>
      <c r="GU2" s="82"/>
      <c r="GV2" s="82"/>
      <c r="GW2" s="82"/>
      <c r="GX2" s="82"/>
      <c r="GY2" s="82"/>
      <c r="GZ2" s="82"/>
      <c r="HA2" s="82"/>
      <c r="HB2" s="82"/>
      <c r="HC2" s="82"/>
      <c r="HD2" s="82"/>
      <c r="HE2" s="82"/>
      <c r="HF2" s="82"/>
      <c r="HK2" s="82" t="s">
        <v>2</v>
      </c>
      <c r="HL2" s="82"/>
      <c r="HM2" s="82"/>
      <c r="HN2" s="82"/>
      <c r="HO2" s="82"/>
      <c r="HP2" s="82"/>
      <c r="HQ2" s="82"/>
      <c r="HR2" s="82"/>
      <c r="HS2" s="82"/>
      <c r="HT2" s="82"/>
      <c r="HU2" s="82"/>
      <c r="HV2" s="82"/>
      <c r="HW2" s="82"/>
      <c r="IA2" s="82" t="s">
        <v>2</v>
      </c>
      <c r="IB2" s="82"/>
      <c r="IC2" s="82"/>
      <c r="ID2" s="82"/>
      <c r="IE2" s="82"/>
      <c r="IF2" s="82"/>
      <c r="IG2" s="82"/>
      <c r="IH2" s="82"/>
      <c r="II2" s="82"/>
      <c r="IJ2" s="82"/>
      <c r="IK2" s="82"/>
      <c r="IL2" s="82"/>
      <c r="IM2" s="82"/>
      <c r="IR2" s="82" t="s">
        <v>2</v>
      </c>
      <c r="IS2" s="82"/>
      <c r="IT2" s="82"/>
      <c r="IU2" s="82"/>
      <c r="IV2" s="82"/>
      <c r="IW2" s="82"/>
      <c r="IX2" s="82"/>
      <c r="IY2" s="82"/>
      <c r="IZ2" s="82"/>
      <c r="JA2" s="82"/>
      <c r="JB2" s="82"/>
      <c r="JC2" s="82"/>
      <c r="JD2" s="82"/>
      <c r="JH2" s="82" t="s">
        <v>2</v>
      </c>
      <c r="JI2" s="82"/>
      <c r="JJ2" s="82"/>
      <c r="JK2" s="82"/>
      <c r="JL2" s="82"/>
      <c r="JM2" s="82"/>
      <c r="JN2" s="82"/>
      <c r="JO2" s="82"/>
      <c r="JP2" s="82"/>
      <c r="JQ2" s="82"/>
      <c r="JR2" s="82"/>
      <c r="JS2" s="82"/>
      <c r="JT2" s="82"/>
      <c r="JY2" s="82" t="s">
        <v>2</v>
      </c>
      <c r="JZ2" s="82"/>
      <c r="KA2" s="82"/>
      <c r="KB2" s="82"/>
      <c r="KC2" s="82"/>
      <c r="KD2" s="82"/>
      <c r="KE2" s="82"/>
      <c r="KF2" s="82"/>
      <c r="KG2" s="82"/>
      <c r="KH2" s="82"/>
      <c r="KI2" s="82"/>
      <c r="KJ2" s="82"/>
      <c r="KK2" s="82"/>
      <c r="KO2" s="82" t="s">
        <v>2</v>
      </c>
      <c r="KP2" s="82"/>
      <c r="KQ2" s="82"/>
      <c r="KR2" s="82"/>
      <c r="KS2" s="82"/>
      <c r="KT2" s="82"/>
      <c r="KU2" s="82"/>
      <c r="KV2" s="82"/>
      <c r="KW2" s="82"/>
      <c r="KX2" s="82"/>
      <c r="KY2" s="82"/>
      <c r="KZ2" s="82"/>
      <c r="LA2" s="82"/>
      <c r="LF2" s="82" t="s">
        <v>2</v>
      </c>
      <c r="LG2" s="82"/>
      <c r="LH2" s="82"/>
      <c r="LI2" s="82"/>
      <c r="LJ2" s="82"/>
      <c r="LK2" s="82"/>
      <c r="LL2" s="82"/>
      <c r="LM2" s="82"/>
      <c r="LN2" s="82"/>
      <c r="LO2" s="82"/>
      <c r="LP2" s="82"/>
      <c r="LQ2" s="82"/>
      <c r="LR2" s="82"/>
    </row>
    <row r="3" spans="1:330" ht="18" customHeight="1" x14ac:dyDescent="0.3">
      <c r="D3" s="83" t="s">
        <v>3</v>
      </c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U3" s="83" t="s">
        <v>3</v>
      </c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K3" s="83" t="s">
        <v>3</v>
      </c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BB3" s="83" t="s">
        <v>3</v>
      </c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  <c r="BN3" s="83"/>
      <c r="BR3" s="83" t="s">
        <v>3</v>
      </c>
      <c r="BS3" s="83"/>
      <c r="BT3" s="83"/>
      <c r="BU3" s="83"/>
      <c r="BV3" s="83"/>
      <c r="BW3" s="83"/>
      <c r="BX3" s="83"/>
      <c r="BY3" s="83"/>
      <c r="BZ3" s="83"/>
      <c r="CA3" s="83"/>
      <c r="CB3" s="83"/>
      <c r="CC3" s="83"/>
      <c r="CD3" s="83"/>
      <c r="CI3" s="83" t="s">
        <v>3</v>
      </c>
      <c r="CJ3" s="83"/>
      <c r="CK3" s="83"/>
      <c r="CL3" s="83"/>
      <c r="CM3" s="83"/>
      <c r="CN3" s="83"/>
      <c r="CO3" s="83"/>
      <c r="CP3" s="83"/>
      <c r="CQ3" s="83"/>
      <c r="CR3" s="83"/>
      <c r="CS3" s="83"/>
      <c r="CT3" s="83"/>
      <c r="CU3" s="83"/>
      <c r="CY3" s="83" t="s">
        <v>3</v>
      </c>
      <c r="CZ3" s="83"/>
      <c r="DA3" s="83"/>
      <c r="DB3" s="83"/>
      <c r="DC3" s="83"/>
      <c r="DD3" s="83"/>
      <c r="DE3" s="83"/>
      <c r="DF3" s="83"/>
      <c r="DG3" s="83"/>
      <c r="DH3" s="83"/>
      <c r="DI3" s="83"/>
      <c r="DJ3" s="83"/>
      <c r="DK3" s="83"/>
      <c r="DP3" s="83" t="s">
        <v>3</v>
      </c>
      <c r="DQ3" s="83"/>
      <c r="DR3" s="83"/>
      <c r="DS3" s="83"/>
      <c r="DT3" s="83"/>
      <c r="DU3" s="83"/>
      <c r="DV3" s="83"/>
      <c r="DW3" s="83"/>
      <c r="DX3" s="83"/>
      <c r="DY3" s="83"/>
      <c r="DZ3" s="83"/>
      <c r="EA3" s="83"/>
      <c r="EB3" s="83"/>
      <c r="EF3" s="83" t="s">
        <v>3</v>
      </c>
      <c r="EG3" s="83"/>
      <c r="EH3" s="83"/>
      <c r="EI3" s="83"/>
      <c r="EJ3" s="83"/>
      <c r="EK3" s="83"/>
      <c r="EL3" s="83"/>
      <c r="EM3" s="83"/>
      <c r="EN3" s="83"/>
      <c r="EO3" s="83"/>
      <c r="EP3" s="83"/>
      <c r="EQ3" s="83"/>
      <c r="ER3" s="83"/>
      <c r="EW3" s="83" t="s">
        <v>3</v>
      </c>
      <c r="EX3" s="83"/>
      <c r="EY3" s="83"/>
      <c r="EZ3" s="83"/>
      <c r="FA3" s="83"/>
      <c r="FB3" s="83"/>
      <c r="FC3" s="83"/>
      <c r="FD3" s="83"/>
      <c r="FE3" s="83"/>
      <c r="FF3" s="83"/>
      <c r="FG3" s="83"/>
      <c r="FH3" s="83"/>
      <c r="FI3" s="83"/>
      <c r="FM3" s="83" t="s">
        <v>3</v>
      </c>
      <c r="FN3" s="83"/>
      <c r="FO3" s="83"/>
      <c r="FP3" s="83"/>
      <c r="FQ3" s="83"/>
      <c r="FR3" s="83"/>
      <c r="FS3" s="83"/>
      <c r="FT3" s="83"/>
      <c r="FU3" s="83"/>
      <c r="FV3" s="83"/>
      <c r="FW3" s="83"/>
      <c r="FX3" s="83"/>
      <c r="FY3" s="83"/>
      <c r="GD3" s="83" t="s">
        <v>3</v>
      </c>
      <c r="GE3" s="83"/>
      <c r="GF3" s="83"/>
      <c r="GG3" s="83"/>
      <c r="GH3" s="83"/>
      <c r="GI3" s="83"/>
      <c r="GJ3" s="83"/>
      <c r="GK3" s="83"/>
      <c r="GL3" s="83"/>
      <c r="GM3" s="83"/>
      <c r="GN3" s="83"/>
      <c r="GO3" s="83"/>
      <c r="GP3" s="83"/>
      <c r="GT3" s="83" t="s">
        <v>3</v>
      </c>
      <c r="GU3" s="83"/>
      <c r="GV3" s="83"/>
      <c r="GW3" s="83"/>
      <c r="GX3" s="83"/>
      <c r="GY3" s="83"/>
      <c r="GZ3" s="83"/>
      <c r="HA3" s="83"/>
      <c r="HB3" s="83"/>
      <c r="HC3" s="83"/>
      <c r="HD3" s="83"/>
      <c r="HE3" s="83"/>
      <c r="HF3" s="83"/>
      <c r="HK3" s="83" t="s">
        <v>3</v>
      </c>
      <c r="HL3" s="83"/>
      <c r="HM3" s="83"/>
      <c r="HN3" s="83"/>
      <c r="HO3" s="83"/>
      <c r="HP3" s="83"/>
      <c r="HQ3" s="83"/>
      <c r="HR3" s="83"/>
      <c r="HS3" s="83"/>
      <c r="HT3" s="83"/>
      <c r="HU3" s="83"/>
      <c r="HV3" s="83"/>
      <c r="HW3" s="83"/>
      <c r="IA3" s="83" t="s">
        <v>3</v>
      </c>
      <c r="IB3" s="83"/>
      <c r="IC3" s="83"/>
      <c r="ID3" s="83"/>
      <c r="IE3" s="83"/>
      <c r="IF3" s="83"/>
      <c r="IG3" s="83"/>
      <c r="IH3" s="83"/>
      <c r="II3" s="83"/>
      <c r="IJ3" s="83"/>
      <c r="IK3" s="83"/>
      <c r="IL3" s="83"/>
      <c r="IM3" s="83"/>
      <c r="IR3" s="83" t="s">
        <v>3</v>
      </c>
      <c r="IS3" s="83"/>
      <c r="IT3" s="83"/>
      <c r="IU3" s="83"/>
      <c r="IV3" s="83"/>
      <c r="IW3" s="83"/>
      <c r="IX3" s="83"/>
      <c r="IY3" s="83"/>
      <c r="IZ3" s="83"/>
      <c r="JA3" s="83"/>
      <c r="JB3" s="83"/>
      <c r="JC3" s="83"/>
      <c r="JD3" s="83"/>
      <c r="JH3" s="83" t="s">
        <v>3</v>
      </c>
      <c r="JI3" s="83"/>
      <c r="JJ3" s="83"/>
      <c r="JK3" s="83"/>
      <c r="JL3" s="83"/>
      <c r="JM3" s="83"/>
      <c r="JN3" s="83"/>
      <c r="JO3" s="83"/>
      <c r="JP3" s="83"/>
      <c r="JQ3" s="83"/>
      <c r="JR3" s="83"/>
      <c r="JS3" s="83"/>
      <c r="JT3" s="83"/>
      <c r="JY3" s="83" t="s">
        <v>3</v>
      </c>
      <c r="JZ3" s="83"/>
      <c r="KA3" s="83"/>
      <c r="KB3" s="83"/>
      <c r="KC3" s="83"/>
      <c r="KD3" s="83"/>
      <c r="KE3" s="83"/>
      <c r="KF3" s="83"/>
      <c r="KG3" s="83"/>
      <c r="KH3" s="83"/>
      <c r="KI3" s="83"/>
      <c r="KJ3" s="83"/>
      <c r="KK3" s="83"/>
      <c r="KO3" s="83" t="s">
        <v>3</v>
      </c>
      <c r="KP3" s="83"/>
      <c r="KQ3" s="83"/>
      <c r="KR3" s="83"/>
      <c r="KS3" s="83"/>
      <c r="KT3" s="83"/>
      <c r="KU3" s="83"/>
      <c r="KV3" s="83"/>
      <c r="KW3" s="83"/>
      <c r="KX3" s="83"/>
      <c r="KY3" s="83"/>
      <c r="KZ3" s="83"/>
      <c r="LA3" s="83"/>
      <c r="LF3" s="83" t="s">
        <v>3</v>
      </c>
      <c r="LG3" s="83"/>
      <c r="LH3" s="83"/>
      <c r="LI3" s="83"/>
      <c r="LJ3" s="83"/>
      <c r="LK3" s="83"/>
      <c r="LL3" s="83"/>
      <c r="LM3" s="83"/>
      <c r="LN3" s="83"/>
      <c r="LO3" s="83"/>
      <c r="LP3" s="83"/>
      <c r="LQ3" s="83"/>
      <c r="LR3" s="83"/>
    </row>
    <row r="4" spans="1:330" ht="14.55" customHeight="1" x14ac:dyDescent="0.3">
      <c r="D4" s="84" t="s">
        <v>4</v>
      </c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U4" s="84" t="s">
        <v>4</v>
      </c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K4" s="84" t="s">
        <v>4</v>
      </c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BB4" s="84" t="s">
        <v>4</v>
      </c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R4" s="84" t="s">
        <v>4</v>
      </c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I4" s="84" t="s">
        <v>4</v>
      </c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Y4" s="84" t="s">
        <v>4</v>
      </c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P4" s="84" t="s">
        <v>4</v>
      </c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F4" s="84" t="s">
        <v>4</v>
      </c>
      <c r="EG4" s="84"/>
      <c r="EH4" s="84"/>
      <c r="EI4" s="84"/>
      <c r="EJ4" s="84"/>
      <c r="EK4" s="84"/>
      <c r="EL4" s="84"/>
      <c r="EM4" s="84"/>
      <c r="EN4" s="84"/>
      <c r="EO4" s="84"/>
      <c r="EP4" s="84"/>
      <c r="EQ4" s="84"/>
      <c r="ER4" s="84"/>
      <c r="EW4" s="84" t="s">
        <v>4</v>
      </c>
      <c r="EX4" s="84"/>
      <c r="EY4" s="84"/>
      <c r="EZ4" s="84"/>
      <c r="FA4" s="84"/>
      <c r="FB4" s="84"/>
      <c r="FC4" s="84"/>
      <c r="FD4" s="84"/>
      <c r="FE4" s="84"/>
      <c r="FF4" s="84"/>
      <c r="FG4" s="84"/>
      <c r="FH4" s="84"/>
      <c r="FI4" s="84"/>
      <c r="FM4" s="84" t="s">
        <v>4</v>
      </c>
      <c r="FN4" s="84"/>
      <c r="FO4" s="84"/>
      <c r="FP4" s="84"/>
      <c r="FQ4" s="84"/>
      <c r="FR4" s="84"/>
      <c r="FS4" s="84"/>
      <c r="FT4" s="84"/>
      <c r="FU4" s="84"/>
      <c r="FV4" s="84"/>
      <c r="FW4" s="84"/>
      <c r="FX4" s="84"/>
      <c r="FY4" s="84"/>
      <c r="GD4" s="84" t="s">
        <v>4</v>
      </c>
      <c r="GE4" s="84"/>
      <c r="GF4" s="84"/>
      <c r="GG4" s="84"/>
      <c r="GH4" s="84"/>
      <c r="GI4" s="84"/>
      <c r="GJ4" s="84"/>
      <c r="GK4" s="84"/>
      <c r="GL4" s="84"/>
      <c r="GM4" s="84"/>
      <c r="GN4" s="84"/>
      <c r="GO4" s="84"/>
      <c r="GP4" s="84"/>
      <c r="GT4" s="84" t="s">
        <v>4</v>
      </c>
      <c r="GU4" s="84"/>
      <c r="GV4" s="84"/>
      <c r="GW4" s="84"/>
      <c r="GX4" s="84"/>
      <c r="GY4" s="84"/>
      <c r="GZ4" s="84"/>
      <c r="HA4" s="84"/>
      <c r="HB4" s="84"/>
      <c r="HC4" s="84"/>
      <c r="HD4" s="84"/>
      <c r="HE4" s="84"/>
      <c r="HF4" s="84"/>
      <c r="HK4" s="84" t="s">
        <v>4</v>
      </c>
      <c r="HL4" s="84"/>
      <c r="HM4" s="84"/>
      <c r="HN4" s="84"/>
      <c r="HO4" s="84"/>
      <c r="HP4" s="84"/>
      <c r="HQ4" s="84"/>
      <c r="HR4" s="84"/>
      <c r="HS4" s="84"/>
      <c r="HT4" s="84"/>
      <c r="HU4" s="84"/>
      <c r="HV4" s="84"/>
      <c r="HW4" s="84"/>
      <c r="IA4" s="84" t="s">
        <v>4</v>
      </c>
      <c r="IB4" s="84"/>
      <c r="IC4" s="84"/>
      <c r="ID4" s="84"/>
      <c r="IE4" s="84"/>
      <c r="IF4" s="84"/>
      <c r="IG4" s="84"/>
      <c r="IH4" s="84"/>
      <c r="II4" s="84"/>
      <c r="IJ4" s="84"/>
      <c r="IK4" s="84"/>
      <c r="IL4" s="84"/>
      <c r="IM4" s="84"/>
      <c r="IR4" s="84" t="s">
        <v>4</v>
      </c>
      <c r="IS4" s="84"/>
      <c r="IT4" s="84"/>
      <c r="IU4" s="84"/>
      <c r="IV4" s="84"/>
      <c r="IW4" s="84"/>
      <c r="IX4" s="84"/>
      <c r="IY4" s="84"/>
      <c r="IZ4" s="84"/>
      <c r="JA4" s="84"/>
      <c r="JB4" s="84"/>
      <c r="JC4" s="84"/>
      <c r="JD4" s="84"/>
      <c r="JH4" s="84" t="s">
        <v>4</v>
      </c>
      <c r="JI4" s="84"/>
      <c r="JJ4" s="84"/>
      <c r="JK4" s="84"/>
      <c r="JL4" s="84"/>
      <c r="JM4" s="84"/>
      <c r="JN4" s="84"/>
      <c r="JO4" s="84"/>
      <c r="JP4" s="84"/>
      <c r="JQ4" s="84"/>
      <c r="JR4" s="84"/>
      <c r="JS4" s="84"/>
      <c r="JT4" s="84"/>
      <c r="JY4" s="84" t="s">
        <v>4</v>
      </c>
      <c r="JZ4" s="84"/>
      <c r="KA4" s="84"/>
      <c r="KB4" s="84"/>
      <c r="KC4" s="84"/>
      <c r="KD4" s="84"/>
      <c r="KE4" s="84"/>
      <c r="KF4" s="84"/>
      <c r="KG4" s="84"/>
      <c r="KH4" s="84"/>
      <c r="KI4" s="84"/>
      <c r="KJ4" s="84"/>
      <c r="KK4" s="84"/>
      <c r="KO4" s="84" t="s">
        <v>4</v>
      </c>
      <c r="KP4" s="84"/>
      <c r="KQ4" s="84"/>
      <c r="KR4" s="84"/>
      <c r="KS4" s="84"/>
      <c r="KT4" s="84"/>
      <c r="KU4" s="84"/>
      <c r="KV4" s="84"/>
      <c r="KW4" s="84"/>
      <c r="KX4" s="84"/>
      <c r="KY4" s="84"/>
      <c r="KZ4" s="84"/>
      <c r="LA4" s="84"/>
      <c r="LF4" s="84" t="s">
        <v>4</v>
      </c>
      <c r="LG4" s="84"/>
      <c r="LH4" s="84"/>
      <c r="LI4" s="84"/>
      <c r="LJ4" s="84"/>
      <c r="LK4" s="84"/>
      <c r="LL4" s="84"/>
      <c r="LM4" s="84"/>
      <c r="LN4" s="84"/>
      <c r="LO4" s="84"/>
      <c r="LP4" s="84"/>
      <c r="LQ4" s="84"/>
      <c r="LR4" s="84"/>
    </row>
    <row r="5" spans="1:330" ht="14.55" customHeight="1" x14ac:dyDescent="0.3">
      <c r="D5" s="84" t="s">
        <v>5</v>
      </c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U5" s="84" t="s">
        <v>5</v>
      </c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K5" s="84" t="s">
        <v>5</v>
      </c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BB5" s="84" t="s">
        <v>5</v>
      </c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R5" s="84" t="s">
        <v>5</v>
      </c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I5" s="84" t="s">
        <v>5</v>
      </c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Y5" s="84" t="s">
        <v>5</v>
      </c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P5" s="84" t="s">
        <v>5</v>
      </c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F5" s="84" t="s">
        <v>5</v>
      </c>
      <c r="EG5" s="84"/>
      <c r="EH5" s="84"/>
      <c r="EI5" s="84"/>
      <c r="EJ5" s="84"/>
      <c r="EK5" s="84"/>
      <c r="EL5" s="84"/>
      <c r="EM5" s="84"/>
      <c r="EN5" s="84"/>
      <c r="EO5" s="84"/>
      <c r="EP5" s="84"/>
      <c r="EQ5" s="84"/>
      <c r="ER5" s="84"/>
      <c r="EW5" s="84" t="s">
        <v>5</v>
      </c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M5" s="84" t="s">
        <v>5</v>
      </c>
      <c r="FN5" s="84"/>
      <c r="FO5" s="84"/>
      <c r="FP5" s="84"/>
      <c r="FQ5" s="84"/>
      <c r="FR5" s="84"/>
      <c r="FS5" s="84"/>
      <c r="FT5" s="84"/>
      <c r="FU5" s="84"/>
      <c r="FV5" s="84"/>
      <c r="FW5" s="84"/>
      <c r="FX5" s="84"/>
      <c r="FY5" s="84"/>
      <c r="GD5" s="84" t="s">
        <v>5</v>
      </c>
      <c r="GE5" s="84"/>
      <c r="GF5" s="84"/>
      <c r="GG5" s="84"/>
      <c r="GH5" s="84"/>
      <c r="GI5" s="84"/>
      <c r="GJ5" s="84"/>
      <c r="GK5" s="84"/>
      <c r="GL5" s="84"/>
      <c r="GM5" s="84"/>
      <c r="GN5" s="84"/>
      <c r="GO5" s="84"/>
      <c r="GP5" s="84"/>
      <c r="GT5" s="84" t="s">
        <v>5</v>
      </c>
      <c r="GU5" s="84"/>
      <c r="GV5" s="84"/>
      <c r="GW5" s="84"/>
      <c r="GX5" s="84"/>
      <c r="GY5" s="84"/>
      <c r="GZ5" s="84"/>
      <c r="HA5" s="84"/>
      <c r="HB5" s="84"/>
      <c r="HC5" s="84"/>
      <c r="HD5" s="84"/>
      <c r="HE5" s="84"/>
      <c r="HF5" s="84"/>
      <c r="HK5" s="84" t="s">
        <v>5</v>
      </c>
      <c r="HL5" s="84"/>
      <c r="HM5" s="84"/>
      <c r="HN5" s="84"/>
      <c r="HO5" s="84"/>
      <c r="HP5" s="84"/>
      <c r="HQ5" s="84"/>
      <c r="HR5" s="84"/>
      <c r="HS5" s="84"/>
      <c r="HT5" s="84"/>
      <c r="HU5" s="84"/>
      <c r="HV5" s="84"/>
      <c r="HW5" s="84"/>
      <c r="IA5" s="84" t="s">
        <v>5</v>
      </c>
      <c r="IB5" s="84"/>
      <c r="IC5" s="84"/>
      <c r="ID5" s="84"/>
      <c r="IE5" s="84"/>
      <c r="IF5" s="84"/>
      <c r="IG5" s="84"/>
      <c r="IH5" s="84"/>
      <c r="II5" s="84"/>
      <c r="IJ5" s="84"/>
      <c r="IK5" s="84"/>
      <c r="IL5" s="84"/>
      <c r="IM5" s="84"/>
      <c r="IR5" s="84" t="s">
        <v>5</v>
      </c>
      <c r="IS5" s="84"/>
      <c r="IT5" s="84"/>
      <c r="IU5" s="84"/>
      <c r="IV5" s="84"/>
      <c r="IW5" s="84"/>
      <c r="IX5" s="84"/>
      <c r="IY5" s="84"/>
      <c r="IZ5" s="84"/>
      <c r="JA5" s="84"/>
      <c r="JB5" s="84"/>
      <c r="JC5" s="84"/>
      <c r="JD5" s="84"/>
      <c r="JH5" s="84" t="s">
        <v>5</v>
      </c>
      <c r="JI5" s="84"/>
      <c r="JJ5" s="84"/>
      <c r="JK5" s="84"/>
      <c r="JL5" s="84"/>
      <c r="JM5" s="84"/>
      <c r="JN5" s="84"/>
      <c r="JO5" s="84"/>
      <c r="JP5" s="84"/>
      <c r="JQ5" s="84"/>
      <c r="JR5" s="84"/>
      <c r="JS5" s="84"/>
      <c r="JT5" s="84"/>
      <c r="JY5" s="84" t="s">
        <v>5</v>
      </c>
      <c r="JZ5" s="84"/>
      <c r="KA5" s="84"/>
      <c r="KB5" s="84"/>
      <c r="KC5" s="84"/>
      <c r="KD5" s="84"/>
      <c r="KE5" s="84"/>
      <c r="KF5" s="84"/>
      <c r="KG5" s="84"/>
      <c r="KH5" s="84"/>
      <c r="KI5" s="84"/>
      <c r="KJ5" s="84"/>
      <c r="KK5" s="84"/>
      <c r="KO5" s="84" t="s">
        <v>5</v>
      </c>
      <c r="KP5" s="84"/>
      <c r="KQ5" s="84"/>
      <c r="KR5" s="84"/>
      <c r="KS5" s="84"/>
      <c r="KT5" s="84"/>
      <c r="KU5" s="84"/>
      <c r="KV5" s="84"/>
      <c r="KW5" s="84"/>
      <c r="KX5" s="84"/>
      <c r="KY5" s="84"/>
      <c r="KZ5" s="84"/>
      <c r="LA5" s="84"/>
      <c r="LF5" s="84" t="s">
        <v>5</v>
      </c>
      <c r="LG5" s="84"/>
      <c r="LH5" s="84"/>
      <c r="LI5" s="84"/>
      <c r="LJ5" s="84"/>
      <c r="LK5" s="84"/>
      <c r="LL5" s="84"/>
      <c r="LM5" s="84"/>
      <c r="LN5" s="84"/>
      <c r="LO5" s="84"/>
      <c r="LP5" s="84"/>
      <c r="LQ5" s="84"/>
      <c r="LR5" s="84"/>
    </row>
    <row r="6" spans="1:330" ht="9" customHeight="1" x14ac:dyDescent="0.3"/>
    <row r="7" spans="1:330" s="6" customFormat="1" ht="12" customHeight="1" x14ac:dyDescent="0.3">
      <c r="A7" s="5"/>
      <c r="B7" s="80" t="s">
        <v>6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R7" s="5"/>
      <c r="S7" s="80" t="s">
        <v>6</v>
      </c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5"/>
      <c r="AI7" s="80" t="s">
        <v>6</v>
      </c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Y7" s="5"/>
      <c r="AZ7" s="80" t="s">
        <v>6</v>
      </c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5"/>
      <c r="BP7" s="80" t="s">
        <v>6</v>
      </c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F7" s="5"/>
      <c r="CG7" s="80" t="s">
        <v>6</v>
      </c>
      <c r="CH7" s="80"/>
      <c r="CI7" s="80"/>
      <c r="CJ7" s="80"/>
      <c r="CK7" s="80"/>
      <c r="CL7" s="80"/>
      <c r="CM7" s="80"/>
      <c r="CN7" s="80"/>
      <c r="CO7" s="80"/>
      <c r="CP7" s="80"/>
      <c r="CQ7" s="80"/>
      <c r="CR7" s="80"/>
      <c r="CS7" s="80"/>
      <c r="CT7" s="80"/>
      <c r="CU7" s="80"/>
      <c r="CV7" s="5"/>
      <c r="CW7" s="80" t="s">
        <v>6</v>
      </c>
      <c r="CX7" s="80"/>
      <c r="CY7" s="80"/>
      <c r="CZ7" s="80"/>
      <c r="DA7" s="80"/>
      <c r="DB7" s="80"/>
      <c r="DC7" s="80"/>
      <c r="DD7" s="80"/>
      <c r="DE7" s="80"/>
      <c r="DF7" s="80"/>
      <c r="DG7" s="80"/>
      <c r="DH7" s="80"/>
      <c r="DI7" s="80"/>
      <c r="DJ7" s="80"/>
      <c r="DK7" s="80"/>
      <c r="DM7" s="5"/>
      <c r="DN7" s="80" t="s">
        <v>6</v>
      </c>
      <c r="DO7" s="80"/>
      <c r="DP7" s="80"/>
      <c r="DQ7" s="80"/>
      <c r="DR7" s="80"/>
      <c r="DS7" s="80"/>
      <c r="DT7" s="80"/>
      <c r="DU7" s="80"/>
      <c r="DV7" s="80"/>
      <c r="DW7" s="80"/>
      <c r="DX7" s="80"/>
      <c r="DY7" s="80"/>
      <c r="DZ7" s="80"/>
      <c r="EA7" s="80"/>
      <c r="EB7" s="80"/>
      <c r="EC7" s="5"/>
      <c r="ED7" s="80" t="s">
        <v>6</v>
      </c>
      <c r="EE7" s="80"/>
      <c r="EF7" s="80"/>
      <c r="EG7" s="80"/>
      <c r="EH7" s="80"/>
      <c r="EI7" s="80"/>
      <c r="EJ7" s="80"/>
      <c r="EK7" s="80"/>
      <c r="EL7" s="80"/>
      <c r="EM7" s="80"/>
      <c r="EN7" s="80"/>
      <c r="EO7" s="80"/>
      <c r="EP7" s="80"/>
      <c r="EQ7" s="80"/>
      <c r="ER7" s="80"/>
      <c r="ET7" s="5"/>
      <c r="EU7" s="80" t="s">
        <v>6</v>
      </c>
      <c r="EV7" s="80"/>
      <c r="EW7" s="80"/>
      <c r="EX7" s="80"/>
      <c r="EY7" s="80"/>
      <c r="EZ7" s="80"/>
      <c r="FA7" s="80"/>
      <c r="FB7" s="80"/>
      <c r="FC7" s="80"/>
      <c r="FD7" s="80"/>
      <c r="FE7" s="80"/>
      <c r="FF7" s="80"/>
      <c r="FG7" s="80"/>
      <c r="FH7" s="80"/>
      <c r="FI7" s="80"/>
      <c r="FJ7" s="5"/>
      <c r="FK7" s="80" t="s">
        <v>6</v>
      </c>
      <c r="FL7" s="80"/>
      <c r="FM7" s="80"/>
      <c r="FN7" s="80"/>
      <c r="FO7" s="80"/>
      <c r="FP7" s="80"/>
      <c r="FQ7" s="80"/>
      <c r="FR7" s="80"/>
      <c r="FS7" s="80"/>
      <c r="FT7" s="80"/>
      <c r="FU7" s="80"/>
      <c r="FV7" s="80"/>
      <c r="FW7" s="80"/>
      <c r="FX7" s="80"/>
      <c r="FY7" s="80"/>
      <c r="GA7" s="5"/>
      <c r="GB7" s="80" t="s">
        <v>6</v>
      </c>
      <c r="GC7" s="80"/>
      <c r="GD7" s="80"/>
      <c r="GE7" s="80"/>
      <c r="GF7" s="80"/>
      <c r="GG7" s="80"/>
      <c r="GH7" s="80"/>
      <c r="GI7" s="80"/>
      <c r="GJ7" s="80"/>
      <c r="GK7" s="80"/>
      <c r="GL7" s="80"/>
      <c r="GM7" s="80"/>
      <c r="GN7" s="80"/>
      <c r="GO7" s="80"/>
      <c r="GP7" s="80"/>
      <c r="GQ7" s="5"/>
      <c r="GR7" s="80" t="s">
        <v>6</v>
      </c>
      <c r="GS7" s="80"/>
      <c r="GT7" s="80"/>
      <c r="GU7" s="80"/>
      <c r="GV7" s="80"/>
      <c r="GW7" s="80"/>
      <c r="GX7" s="80"/>
      <c r="GY7" s="80"/>
      <c r="GZ7" s="80"/>
      <c r="HA7" s="80"/>
      <c r="HB7" s="80"/>
      <c r="HC7" s="80"/>
      <c r="HD7" s="80"/>
      <c r="HE7" s="80"/>
      <c r="HF7" s="80"/>
      <c r="HH7" s="5"/>
      <c r="HI7" s="80" t="s">
        <v>6</v>
      </c>
      <c r="HJ7" s="80"/>
      <c r="HK7" s="80"/>
      <c r="HL7" s="80"/>
      <c r="HM7" s="80"/>
      <c r="HN7" s="80"/>
      <c r="HO7" s="80"/>
      <c r="HP7" s="80"/>
      <c r="HQ7" s="80"/>
      <c r="HR7" s="80"/>
      <c r="HS7" s="80"/>
      <c r="HT7" s="80"/>
      <c r="HU7" s="80"/>
      <c r="HV7" s="80"/>
      <c r="HW7" s="80"/>
      <c r="HX7" s="5"/>
      <c r="HY7" s="80" t="s">
        <v>6</v>
      </c>
      <c r="HZ7" s="80"/>
      <c r="IA7" s="80"/>
      <c r="IB7" s="80"/>
      <c r="IC7" s="80"/>
      <c r="ID7" s="80"/>
      <c r="IE7" s="80"/>
      <c r="IF7" s="80"/>
      <c r="IG7" s="80"/>
      <c r="IH7" s="80"/>
      <c r="II7" s="80"/>
      <c r="IJ7" s="80"/>
      <c r="IK7" s="80"/>
      <c r="IL7" s="80"/>
      <c r="IM7" s="80"/>
      <c r="IO7" s="5"/>
      <c r="IP7" s="80" t="s">
        <v>6</v>
      </c>
      <c r="IQ7" s="80"/>
      <c r="IR7" s="80"/>
      <c r="IS7" s="80"/>
      <c r="IT7" s="80"/>
      <c r="IU7" s="80"/>
      <c r="IV7" s="80"/>
      <c r="IW7" s="80"/>
      <c r="IX7" s="80"/>
      <c r="IY7" s="80"/>
      <c r="IZ7" s="80"/>
      <c r="JA7" s="80"/>
      <c r="JB7" s="80"/>
      <c r="JC7" s="80"/>
      <c r="JD7" s="80"/>
      <c r="JE7" s="5"/>
      <c r="JF7" s="80" t="s">
        <v>6</v>
      </c>
      <c r="JG7" s="80"/>
      <c r="JH7" s="80"/>
      <c r="JI7" s="80"/>
      <c r="JJ7" s="80"/>
      <c r="JK7" s="80"/>
      <c r="JL7" s="80"/>
      <c r="JM7" s="80"/>
      <c r="JN7" s="80"/>
      <c r="JO7" s="80"/>
      <c r="JP7" s="80"/>
      <c r="JQ7" s="80"/>
      <c r="JR7" s="80"/>
      <c r="JS7" s="80"/>
      <c r="JT7" s="80"/>
      <c r="JV7" s="5"/>
      <c r="JW7" s="80" t="s">
        <v>6</v>
      </c>
      <c r="JX7" s="80"/>
      <c r="JY7" s="80"/>
      <c r="JZ7" s="80"/>
      <c r="KA7" s="80"/>
      <c r="KB7" s="80"/>
      <c r="KC7" s="80"/>
      <c r="KD7" s="80"/>
      <c r="KE7" s="80"/>
      <c r="KF7" s="80"/>
      <c r="KG7" s="80"/>
      <c r="KH7" s="80"/>
      <c r="KI7" s="80"/>
      <c r="KJ7" s="80"/>
      <c r="KK7" s="80"/>
      <c r="KL7" s="5"/>
      <c r="KM7" s="80" t="s">
        <v>6</v>
      </c>
      <c r="KN7" s="80"/>
      <c r="KO7" s="80"/>
      <c r="KP7" s="80"/>
      <c r="KQ7" s="80"/>
      <c r="KR7" s="80"/>
      <c r="KS7" s="80"/>
      <c r="KT7" s="80"/>
      <c r="KU7" s="80"/>
      <c r="KV7" s="80"/>
      <c r="KW7" s="80"/>
      <c r="KX7" s="80"/>
      <c r="KY7" s="80"/>
      <c r="KZ7" s="80"/>
      <c r="LA7" s="80"/>
      <c r="LC7" s="5"/>
      <c r="LD7" s="80" t="s">
        <v>6</v>
      </c>
      <c r="LE7" s="80"/>
      <c r="LF7" s="80"/>
      <c r="LG7" s="80"/>
      <c r="LH7" s="80"/>
      <c r="LI7" s="80"/>
      <c r="LJ7" s="80"/>
      <c r="LK7" s="80"/>
      <c r="LL7" s="80"/>
      <c r="LM7" s="80"/>
      <c r="LN7" s="80"/>
      <c r="LO7" s="80"/>
      <c r="LP7" s="80"/>
      <c r="LQ7" s="80"/>
      <c r="LR7" s="80"/>
    </row>
    <row r="8" spans="1:330" s="9" customFormat="1" ht="18.600000000000001" customHeight="1" x14ac:dyDescent="0.3">
      <c r="A8" s="63" t="s">
        <v>7</v>
      </c>
      <c r="B8" s="63"/>
      <c r="C8" s="78" t="str">
        <f>[1]SUMMARY!B4</f>
        <v>Anglo, Dranreb Eirrol Nicdao</v>
      </c>
      <c r="D8" s="78"/>
      <c r="E8" s="78"/>
      <c r="F8" s="78"/>
      <c r="G8" s="78"/>
      <c r="H8" s="78"/>
      <c r="I8" s="78"/>
      <c r="J8" s="7"/>
      <c r="K8" s="7" t="s">
        <v>8</v>
      </c>
      <c r="L8" s="79" t="str">
        <f>[1]SUMMARY!E4</f>
        <v xml:space="preserve">15 </v>
      </c>
      <c r="M8" s="79"/>
      <c r="N8" s="7" t="s">
        <v>9</v>
      </c>
      <c r="O8" s="8" t="str">
        <f>[1]SUMMARY!D4</f>
        <v>Male</v>
      </c>
      <c r="R8" s="63" t="s">
        <v>7</v>
      </c>
      <c r="S8" s="63"/>
      <c r="T8" s="78" t="str">
        <f>[1]SUMMARY!B5</f>
        <v>Cailao, Iñigo Rafael Mascardo</v>
      </c>
      <c r="U8" s="78"/>
      <c r="V8" s="78"/>
      <c r="W8" s="78"/>
      <c r="X8" s="78"/>
      <c r="Y8" s="78"/>
      <c r="Z8" s="78"/>
      <c r="AA8" s="65" t="s">
        <v>8</v>
      </c>
      <c r="AB8" s="65"/>
      <c r="AC8" s="79" t="str">
        <f>[1]SUMMARY!E5</f>
        <v xml:space="preserve">14 </v>
      </c>
      <c r="AD8" s="79"/>
      <c r="AE8" s="10" t="s">
        <v>9</v>
      </c>
      <c r="AF8" s="8" t="str">
        <f>[1]SUMMARY!D5</f>
        <v>Male</v>
      </c>
      <c r="AH8" s="63" t="s">
        <v>7</v>
      </c>
      <c r="AI8" s="63"/>
      <c r="AJ8" s="78" t="str">
        <f>[1]SUMMARY!B6</f>
        <v>Franco, Kharl Dexter Laguardia</v>
      </c>
      <c r="AK8" s="53"/>
      <c r="AL8" s="53"/>
      <c r="AM8" s="53"/>
      <c r="AN8" s="53"/>
      <c r="AO8" s="53"/>
      <c r="AP8" s="53"/>
      <c r="AQ8" s="65" t="s">
        <v>8</v>
      </c>
      <c r="AR8" s="65"/>
      <c r="AS8" s="79" t="str">
        <f>[1]SUMMARY!E6</f>
        <v xml:space="preserve">15 </v>
      </c>
      <c r="AT8" s="79"/>
      <c r="AU8" s="7" t="s">
        <v>9</v>
      </c>
      <c r="AV8" s="8" t="str">
        <f>[1]SUMMARY!D6</f>
        <v>Male</v>
      </c>
      <c r="AY8" s="63" t="s">
        <v>7</v>
      </c>
      <c r="AZ8" s="63"/>
      <c r="BA8" s="78" t="str">
        <f>[1]SUMMARY!B7</f>
        <v>Igos, Segiro Aston Leau Ejanda</v>
      </c>
      <c r="BB8" s="53"/>
      <c r="BC8" s="53"/>
      <c r="BD8" s="53"/>
      <c r="BE8" s="53"/>
      <c r="BF8" s="53"/>
      <c r="BG8" s="53"/>
      <c r="BH8" s="65" t="s">
        <v>8</v>
      </c>
      <c r="BI8" s="65"/>
      <c r="BJ8" s="79" t="str">
        <f>[1]SUMMARY!E7</f>
        <v xml:space="preserve">15 </v>
      </c>
      <c r="BK8" s="79"/>
      <c r="BL8" s="7" t="s">
        <v>9</v>
      </c>
      <c r="BM8" s="8" t="str">
        <f>[1]SUMMARY!D7</f>
        <v>Male</v>
      </c>
      <c r="BO8" s="63" t="s">
        <v>7</v>
      </c>
      <c r="BP8" s="63"/>
      <c r="BQ8" s="78" t="str">
        <f>[1]SUMMARY!B8</f>
        <v>Luay, John Joseph Asuncion</v>
      </c>
      <c r="BR8" s="53"/>
      <c r="BS8" s="53"/>
      <c r="BT8" s="53"/>
      <c r="BU8" s="53"/>
      <c r="BV8" s="53"/>
      <c r="BW8" s="53"/>
      <c r="BX8" s="65" t="s">
        <v>8</v>
      </c>
      <c r="BY8" s="65"/>
      <c r="BZ8" s="79" t="str">
        <f>[1]SUMMARY!E8</f>
        <v xml:space="preserve">14 </v>
      </c>
      <c r="CA8" s="79"/>
      <c r="CB8" s="7" t="s">
        <v>9</v>
      </c>
      <c r="CC8" s="8" t="str">
        <f>[1]SUMMARY!D8</f>
        <v>Male</v>
      </c>
      <c r="CF8" s="63" t="s">
        <v>7</v>
      </c>
      <c r="CG8" s="63"/>
      <c r="CH8" s="78" t="str">
        <f>[1]SUMMARY!B9</f>
        <v>Manguiat, Kier Gina</v>
      </c>
      <c r="CI8" s="53"/>
      <c r="CJ8" s="53"/>
      <c r="CK8" s="53"/>
      <c r="CL8" s="53"/>
      <c r="CM8" s="53"/>
      <c r="CN8" s="53"/>
      <c r="CO8" s="65" t="s">
        <v>8</v>
      </c>
      <c r="CP8" s="65"/>
      <c r="CQ8" s="79" t="str">
        <f>[1]SUMMARY!E9</f>
        <v xml:space="preserve">14 </v>
      </c>
      <c r="CR8" s="79"/>
      <c r="CS8" s="7" t="s">
        <v>9</v>
      </c>
      <c r="CT8" s="8" t="str">
        <f>[1]SUMMARY!D9</f>
        <v>Male</v>
      </c>
      <c r="CV8" s="63" t="s">
        <v>7</v>
      </c>
      <c r="CW8" s="63"/>
      <c r="CX8" s="78" t="str">
        <f>[1]SUMMARY!B10</f>
        <v>Mojica, Jamil</v>
      </c>
      <c r="CY8" s="53"/>
      <c r="CZ8" s="53"/>
      <c r="DA8" s="53"/>
      <c r="DB8" s="53"/>
      <c r="DC8" s="53"/>
      <c r="DD8" s="53"/>
      <c r="DE8" s="65" t="s">
        <v>8</v>
      </c>
      <c r="DF8" s="65"/>
      <c r="DG8" s="79" t="str">
        <f>[1]SUMMARY!E10</f>
        <v xml:space="preserve">15 </v>
      </c>
      <c r="DH8" s="79"/>
      <c r="DI8" s="7" t="s">
        <v>9</v>
      </c>
      <c r="DJ8" s="8" t="str">
        <f>[1]SUMMARY!D10</f>
        <v>Male</v>
      </c>
      <c r="DM8" s="63" t="s">
        <v>7</v>
      </c>
      <c r="DN8" s="63"/>
      <c r="DO8" s="78" t="str">
        <f>[1]SUMMARY!B11</f>
        <v>Periodico, John Mark Cabrera</v>
      </c>
      <c r="DP8" s="53"/>
      <c r="DQ8" s="53"/>
      <c r="DR8" s="53"/>
      <c r="DS8" s="53"/>
      <c r="DT8" s="53"/>
      <c r="DU8" s="53"/>
      <c r="DV8" s="65" t="s">
        <v>8</v>
      </c>
      <c r="DW8" s="65"/>
      <c r="DX8" s="79" t="str">
        <f>[1]SUMMARY!E11</f>
        <v xml:space="preserve">14 </v>
      </c>
      <c r="DY8" s="79"/>
      <c r="DZ8" s="7" t="s">
        <v>9</v>
      </c>
      <c r="EA8" s="8" t="str">
        <f>[1]SUMMARY!D11</f>
        <v>Male</v>
      </c>
      <c r="EC8" s="63" t="s">
        <v>7</v>
      </c>
      <c r="ED8" s="63"/>
      <c r="EE8" s="78" t="str">
        <f>[1]SUMMARY!B12</f>
        <v>Ragudo, Rogson Eauriel Pugay</v>
      </c>
      <c r="EF8" s="53"/>
      <c r="EG8" s="53"/>
      <c r="EH8" s="53"/>
      <c r="EI8" s="53"/>
      <c r="EJ8" s="53"/>
      <c r="EK8" s="53"/>
      <c r="EL8" s="65" t="s">
        <v>8</v>
      </c>
      <c r="EM8" s="65"/>
      <c r="EN8" s="79" t="str">
        <f>[1]SUMMARY!E12</f>
        <v xml:space="preserve">15 </v>
      </c>
      <c r="EO8" s="79"/>
      <c r="EP8" s="7" t="s">
        <v>9</v>
      </c>
      <c r="EQ8" s="8" t="str">
        <f>[1]SUMMARY!D12</f>
        <v>Male</v>
      </c>
      <c r="ET8" s="63" t="s">
        <v>7</v>
      </c>
      <c r="EU8" s="63"/>
      <c r="EV8" s="78" t="str">
        <f>[1]SUMMARY!B13</f>
        <v>Avilla, Zamantha Kaye Caldito</v>
      </c>
      <c r="EW8" s="53"/>
      <c r="EX8" s="53"/>
      <c r="EY8" s="53"/>
      <c r="EZ8" s="53"/>
      <c r="FA8" s="53"/>
      <c r="FB8" s="53"/>
      <c r="FC8" s="65" t="s">
        <v>8</v>
      </c>
      <c r="FD8" s="65"/>
      <c r="FE8" s="79" t="str">
        <f>[1]SUMMARY!E13</f>
        <v xml:space="preserve">15 </v>
      </c>
      <c r="FF8" s="79"/>
      <c r="FG8" s="7" t="s">
        <v>9</v>
      </c>
      <c r="FH8" s="8" t="str">
        <f>[1]SUMMARY!D13</f>
        <v>Female</v>
      </c>
      <c r="FJ8" s="63" t="s">
        <v>7</v>
      </c>
      <c r="FK8" s="63"/>
      <c r="FL8" s="78" t="str">
        <f>[1]SUMMARY!B14</f>
        <v>Baldisimo, Antonette Saike Loyola</v>
      </c>
      <c r="FM8" s="53"/>
      <c r="FN8" s="53"/>
      <c r="FO8" s="53"/>
      <c r="FP8" s="53"/>
      <c r="FQ8" s="53"/>
      <c r="FR8" s="53"/>
      <c r="FS8" s="65" t="s">
        <v>8</v>
      </c>
      <c r="FT8" s="65"/>
      <c r="FU8" s="79" t="str">
        <f>[1]SUMMARY!E14</f>
        <v xml:space="preserve">15 </v>
      </c>
      <c r="FV8" s="79"/>
      <c r="FW8" s="7" t="s">
        <v>9</v>
      </c>
      <c r="FX8" s="8" t="str">
        <f>[1]SUMMARY!D14</f>
        <v>Female</v>
      </c>
      <c r="GA8" s="63" t="s">
        <v>7</v>
      </c>
      <c r="GB8" s="63"/>
      <c r="GC8" s="78" t="str">
        <f>[1]SUMMARY!B15</f>
        <v>Balmaceda, Rhiann Mateo</v>
      </c>
      <c r="GD8" s="53"/>
      <c r="GE8" s="53"/>
      <c r="GF8" s="53"/>
      <c r="GG8" s="53"/>
      <c r="GH8" s="53"/>
      <c r="GI8" s="53"/>
      <c r="GJ8" s="65" t="s">
        <v>8</v>
      </c>
      <c r="GK8" s="65"/>
      <c r="GL8" s="79" t="str">
        <f>[1]SUMMARY!E15</f>
        <v xml:space="preserve">15 </v>
      </c>
      <c r="GM8" s="79"/>
      <c r="GN8" s="7" t="s">
        <v>9</v>
      </c>
      <c r="GO8" s="8" t="str">
        <f>[1]SUMMARY!D15</f>
        <v>Female</v>
      </c>
      <c r="GQ8" s="63" t="s">
        <v>7</v>
      </c>
      <c r="GR8" s="63"/>
      <c r="GS8" s="78" t="str">
        <f>[1]SUMMARY!B16</f>
        <v>Benitez, Iriah Hinahon</v>
      </c>
      <c r="GT8" s="53"/>
      <c r="GU8" s="53"/>
      <c r="GV8" s="53"/>
      <c r="GW8" s="53"/>
      <c r="GX8" s="53"/>
      <c r="GY8" s="53"/>
      <c r="GZ8" s="65" t="s">
        <v>8</v>
      </c>
      <c r="HA8" s="65"/>
      <c r="HB8" s="79" t="str">
        <f>[1]SUMMARY!E16</f>
        <v xml:space="preserve">15 </v>
      </c>
      <c r="HC8" s="79"/>
      <c r="HD8" s="7" t="s">
        <v>9</v>
      </c>
      <c r="HE8" s="8" t="str">
        <f>[1]SUMMARY!D16</f>
        <v>Female</v>
      </c>
      <c r="HH8" s="63" t="s">
        <v>7</v>
      </c>
      <c r="HI8" s="63"/>
      <c r="HJ8" s="78" t="str">
        <f>[1]SUMMARY!B17</f>
        <v>Cea, Cassandra Lorraine Cueno</v>
      </c>
      <c r="HK8" s="53"/>
      <c r="HL8" s="53"/>
      <c r="HM8" s="53"/>
      <c r="HN8" s="53"/>
      <c r="HO8" s="53"/>
      <c r="HP8" s="53"/>
      <c r="HQ8" s="65" t="s">
        <v>8</v>
      </c>
      <c r="HR8" s="65"/>
      <c r="HS8" s="79" t="str">
        <f>[1]SUMMARY!E17</f>
        <v xml:space="preserve">15 </v>
      </c>
      <c r="HT8" s="79"/>
      <c r="HU8" s="7" t="s">
        <v>9</v>
      </c>
      <c r="HV8" s="8" t="str">
        <f>[1]SUMMARY!D17</f>
        <v>Female</v>
      </c>
      <c r="HX8" s="63" t="s">
        <v>7</v>
      </c>
      <c r="HY8" s="63"/>
      <c r="HZ8" s="78" t="str">
        <f>[1]SUMMARY!B18</f>
        <v>Erni, Queen Sarah Tenerepe</v>
      </c>
      <c r="IA8" s="53"/>
      <c r="IB8" s="53"/>
      <c r="IC8" s="53"/>
      <c r="ID8" s="53"/>
      <c r="IE8" s="53"/>
      <c r="IF8" s="53"/>
      <c r="IG8" s="65" t="s">
        <v>8</v>
      </c>
      <c r="IH8" s="65"/>
      <c r="II8" s="79" t="str">
        <f>[1]SUMMARY!E18</f>
        <v xml:space="preserve">15 </v>
      </c>
      <c r="IJ8" s="79"/>
      <c r="IK8" s="7" t="s">
        <v>9</v>
      </c>
      <c r="IL8" s="8" t="str">
        <f>[1]SUMMARY!D18</f>
        <v>Female</v>
      </c>
      <c r="IO8" s="63" t="s">
        <v>7</v>
      </c>
      <c r="IP8" s="63"/>
      <c r="IQ8" s="78" t="str">
        <f>[1]SUMMARY!B19</f>
        <v>Hermac, Kim Dyzenne Estrella</v>
      </c>
      <c r="IR8" s="53"/>
      <c r="IS8" s="53"/>
      <c r="IT8" s="53"/>
      <c r="IU8" s="53"/>
      <c r="IV8" s="53"/>
      <c r="IW8" s="53"/>
      <c r="IX8" s="65" t="s">
        <v>8</v>
      </c>
      <c r="IY8" s="65"/>
      <c r="IZ8" s="79" t="str">
        <f>[1]SUMMARY!E19</f>
        <v xml:space="preserve">15 </v>
      </c>
      <c r="JA8" s="79"/>
      <c r="JB8" s="7" t="s">
        <v>9</v>
      </c>
      <c r="JC8" s="8" t="str">
        <f>[1]SUMMARY!D19</f>
        <v>Female</v>
      </c>
      <c r="JE8" s="63" t="s">
        <v>7</v>
      </c>
      <c r="JF8" s="63"/>
      <c r="JG8" s="78" t="str">
        <f>[1]SUMMARY!B20</f>
        <v>Hernandez, Shamiah Campos</v>
      </c>
      <c r="JH8" s="53"/>
      <c r="JI8" s="53"/>
      <c r="JJ8" s="53"/>
      <c r="JK8" s="53"/>
      <c r="JL8" s="53"/>
      <c r="JM8" s="53"/>
      <c r="JN8" s="65" t="s">
        <v>8</v>
      </c>
      <c r="JO8" s="65"/>
      <c r="JP8" s="79" t="str">
        <f>[1]SUMMARY!E20</f>
        <v xml:space="preserve">15 </v>
      </c>
      <c r="JQ8" s="79"/>
      <c r="JR8" s="7" t="s">
        <v>9</v>
      </c>
      <c r="JS8" s="8" t="str">
        <f>[1]SUMMARY!D20</f>
        <v>Female</v>
      </c>
      <c r="JV8" s="63" t="s">
        <v>7</v>
      </c>
      <c r="JW8" s="63"/>
      <c r="JX8" s="78" t="str">
        <f>[1]SUMMARY!B21</f>
        <v>Lazaga, Morian Loise Escolta</v>
      </c>
      <c r="JY8" s="53"/>
      <c r="JZ8" s="53"/>
      <c r="KA8" s="53"/>
      <c r="KB8" s="53"/>
      <c r="KC8" s="53"/>
      <c r="KD8" s="53"/>
      <c r="KE8" s="65" t="s">
        <v>8</v>
      </c>
      <c r="KF8" s="65"/>
      <c r="KG8" s="79" t="str">
        <f>[1]SUMMARY!E21</f>
        <v xml:space="preserve">14 </v>
      </c>
      <c r="KH8" s="79"/>
      <c r="KI8" s="7" t="s">
        <v>9</v>
      </c>
      <c r="KJ8" s="8" t="str">
        <f>[1]SUMMARY!D21</f>
        <v>Female</v>
      </c>
      <c r="KL8" s="63" t="s">
        <v>7</v>
      </c>
      <c r="KM8" s="63"/>
      <c r="KN8" s="78" t="str">
        <f>[1]SUMMARY!B22</f>
        <v>Nazareno, Allaina Lacson</v>
      </c>
      <c r="KO8" s="53"/>
      <c r="KP8" s="53"/>
      <c r="KQ8" s="53"/>
      <c r="KR8" s="53"/>
      <c r="KS8" s="53"/>
      <c r="KT8" s="53"/>
      <c r="KU8" s="65" t="s">
        <v>8</v>
      </c>
      <c r="KV8" s="65"/>
      <c r="KW8" s="79" t="str">
        <f>[1]SUMMARY!E22</f>
        <v xml:space="preserve">14 </v>
      </c>
      <c r="KX8" s="79"/>
      <c r="KY8" s="7" t="s">
        <v>9</v>
      </c>
      <c r="KZ8" s="8" t="str">
        <f>[1]SUMMARY!D22</f>
        <v>Female</v>
      </c>
      <c r="LC8" s="63" t="s">
        <v>7</v>
      </c>
      <c r="LD8" s="63"/>
      <c r="LE8" s="78" t="str">
        <f>[1]SUMMARY!B23</f>
        <v>Obsuna, Stephanie Marie Ocampo</v>
      </c>
      <c r="LF8" s="53"/>
      <c r="LG8" s="53"/>
      <c r="LH8" s="53"/>
      <c r="LI8" s="53"/>
      <c r="LJ8" s="53"/>
      <c r="LK8" s="53"/>
      <c r="LL8" s="65" t="s">
        <v>8</v>
      </c>
      <c r="LM8" s="65"/>
      <c r="LN8" s="79" t="str">
        <f>[1]SUMMARY!E23</f>
        <v xml:space="preserve">15 </v>
      </c>
      <c r="LO8" s="79"/>
      <c r="LP8" s="7" t="s">
        <v>9</v>
      </c>
      <c r="LQ8" s="8" t="str">
        <f>[1]SUMMARY!D23</f>
        <v>Female</v>
      </c>
    </row>
    <row r="9" spans="1:330" s="9" customFormat="1" x14ac:dyDescent="0.3">
      <c r="A9" s="63" t="s">
        <v>32</v>
      </c>
      <c r="B9" s="63"/>
      <c r="C9" s="53" t="str">
        <f>[1]SUMMARY!$C$1</f>
        <v>Science</v>
      </c>
      <c r="D9" s="53"/>
      <c r="E9" s="53"/>
      <c r="F9" s="53"/>
      <c r="G9" s="53"/>
      <c r="H9" s="11"/>
      <c r="I9" s="11"/>
      <c r="J9" s="65" t="s">
        <v>10</v>
      </c>
      <c r="K9" s="65"/>
      <c r="L9" s="53">
        <f>[1]SUMMARY!$A$1</f>
        <v>10</v>
      </c>
      <c r="M9" s="53"/>
      <c r="N9" s="53"/>
      <c r="O9" s="53"/>
      <c r="R9" s="63" t="s">
        <v>32</v>
      </c>
      <c r="S9" s="63"/>
      <c r="T9" s="64" t="str">
        <f>[1]SUMMARY!$C$1</f>
        <v>Science</v>
      </c>
      <c r="U9" s="64"/>
      <c r="V9" s="64"/>
      <c r="W9" s="64"/>
      <c r="X9" s="64"/>
      <c r="Y9" s="11"/>
      <c r="Z9" s="11"/>
      <c r="AA9" s="65" t="s">
        <v>10</v>
      </c>
      <c r="AB9" s="65"/>
      <c r="AC9" s="53">
        <f>[1]SUMMARY!$A$1</f>
        <v>10</v>
      </c>
      <c r="AD9" s="53"/>
      <c r="AE9" s="53"/>
      <c r="AF9" s="53"/>
      <c r="AH9" s="63" t="s">
        <v>32</v>
      </c>
      <c r="AI9" s="63"/>
      <c r="AJ9" s="53" t="str">
        <f>[1]SUMMARY!$C$1</f>
        <v>Science</v>
      </c>
      <c r="AK9" s="53"/>
      <c r="AL9" s="53"/>
      <c r="AM9" s="53"/>
      <c r="AN9" s="53"/>
      <c r="AO9" s="11"/>
      <c r="AP9" s="11"/>
      <c r="AQ9" s="65" t="s">
        <v>10</v>
      </c>
      <c r="AR9" s="65"/>
      <c r="AS9" s="53">
        <f>[1]SUMMARY!$A$1</f>
        <v>10</v>
      </c>
      <c r="AT9" s="53"/>
      <c r="AU9" s="53"/>
      <c r="AV9" s="53"/>
      <c r="AY9" s="63" t="s">
        <v>32</v>
      </c>
      <c r="AZ9" s="63"/>
      <c r="BA9" s="53" t="str">
        <f>[1]SUMMARY!$C$1</f>
        <v>Science</v>
      </c>
      <c r="BB9" s="53"/>
      <c r="BC9" s="53"/>
      <c r="BD9" s="53"/>
      <c r="BE9" s="53"/>
      <c r="BF9" s="11"/>
      <c r="BG9" s="11"/>
      <c r="BH9" s="65" t="s">
        <v>10</v>
      </c>
      <c r="BI9" s="65"/>
      <c r="BJ9" s="53">
        <f>[1]SUMMARY!$A$1</f>
        <v>10</v>
      </c>
      <c r="BK9" s="53"/>
      <c r="BL9" s="53"/>
      <c r="BM9" s="53"/>
      <c r="BO9" s="63" t="s">
        <v>32</v>
      </c>
      <c r="BP9" s="63"/>
      <c r="BQ9" s="53" t="str">
        <f>[1]SUMMARY!$C$1</f>
        <v>Science</v>
      </c>
      <c r="BR9" s="53"/>
      <c r="BS9" s="53"/>
      <c r="BT9" s="53"/>
      <c r="BU9" s="53"/>
      <c r="BV9" s="11"/>
      <c r="BW9" s="11"/>
      <c r="BX9" s="65" t="s">
        <v>10</v>
      </c>
      <c r="BY9" s="65"/>
      <c r="BZ9" s="53">
        <f>[1]SUMMARY!$A$1</f>
        <v>10</v>
      </c>
      <c r="CA9" s="53"/>
      <c r="CB9" s="53"/>
      <c r="CC9" s="53"/>
      <c r="CF9" s="63" t="s">
        <v>32</v>
      </c>
      <c r="CG9" s="63"/>
      <c r="CH9" s="53" t="str">
        <f>[1]SUMMARY!$C$1</f>
        <v>Science</v>
      </c>
      <c r="CI9" s="53"/>
      <c r="CJ9" s="53"/>
      <c r="CK9" s="53"/>
      <c r="CL9" s="53"/>
      <c r="CM9" s="11"/>
      <c r="CN9" s="11"/>
      <c r="CO9" s="65" t="s">
        <v>10</v>
      </c>
      <c r="CP9" s="65"/>
      <c r="CQ9" s="53">
        <f>[1]SUMMARY!$A$1</f>
        <v>10</v>
      </c>
      <c r="CR9" s="53"/>
      <c r="CS9" s="53"/>
      <c r="CT9" s="53"/>
      <c r="CV9" s="63" t="s">
        <v>32</v>
      </c>
      <c r="CW9" s="63"/>
      <c r="CX9" s="53" t="str">
        <f>[1]SUMMARY!$C$1</f>
        <v>Science</v>
      </c>
      <c r="CY9" s="53"/>
      <c r="CZ9" s="53"/>
      <c r="DA9" s="53"/>
      <c r="DB9" s="53"/>
      <c r="DC9" s="11"/>
      <c r="DD9" s="11"/>
      <c r="DE9" s="65" t="s">
        <v>10</v>
      </c>
      <c r="DF9" s="65"/>
      <c r="DG9" s="53">
        <f>[1]SUMMARY!$A$1</f>
        <v>10</v>
      </c>
      <c r="DH9" s="53"/>
      <c r="DI9" s="53"/>
      <c r="DJ9" s="53"/>
      <c r="DM9" s="63" t="s">
        <v>32</v>
      </c>
      <c r="DN9" s="63"/>
      <c r="DO9" s="53" t="str">
        <f>[1]SUMMARY!$C$1</f>
        <v>Science</v>
      </c>
      <c r="DP9" s="53"/>
      <c r="DQ9" s="53"/>
      <c r="DR9" s="53"/>
      <c r="DS9" s="53"/>
      <c r="DT9" s="11"/>
      <c r="DU9" s="11"/>
      <c r="DV9" s="65" t="s">
        <v>10</v>
      </c>
      <c r="DW9" s="65"/>
      <c r="DX9" s="53">
        <f>[1]SUMMARY!$A$1</f>
        <v>10</v>
      </c>
      <c r="DY9" s="53"/>
      <c r="DZ9" s="53"/>
      <c r="EA9" s="53"/>
      <c r="EC9" s="63" t="s">
        <v>32</v>
      </c>
      <c r="ED9" s="63"/>
      <c r="EE9" s="53" t="str">
        <f>[1]SUMMARY!$C$1</f>
        <v>Science</v>
      </c>
      <c r="EF9" s="53"/>
      <c r="EG9" s="53"/>
      <c r="EH9" s="53"/>
      <c r="EI9" s="53"/>
      <c r="EJ9" s="11"/>
      <c r="EK9" s="11"/>
      <c r="EL9" s="65" t="s">
        <v>10</v>
      </c>
      <c r="EM9" s="65"/>
      <c r="EN9" s="53">
        <f>[1]SUMMARY!$A$1</f>
        <v>10</v>
      </c>
      <c r="EO9" s="53"/>
      <c r="EP9" s="53"/>
      <c r="EQ9" s="53"/>
      <c r="ET9" s="63" t="s">
        <v>32</v>
      </c>
      <c r="EU9" s="63"/>
      <c r="EV9" s="53" t="str">
        <f>[1]SUMMARY!$C$1</f>
        <v>Science</v>
      </c>
      <c r="EW9" s="53"/>
      <c r="EX9" s="53"/>
      <c r="EY9" s="53"/>
      <c r="EZ9" s="53"/>
      <c r="FA9" s="11"/>
      <c r="FB9" s="11"/>
      <c r="FC9" s="65" t="s">
        <v>10</v>
      </c>
      <c r="FD9" s="65"/>
      <c r="FE9" s="53">
        <f>[1]SUMMARY!$A$1</f>
        <v>10</v>
      </c>
      <c r="FF9" s="53"/>
      <c r="FG9" s="53"/>
      <c r="FH9" s="53"/>
      <c r="FJ9" s="63" t="s">
        <v>32</v>
      </c>
      <c r="FK9" s="63"/>
      <c r="FL9" s="53" t="str">
        <f>[1]SUMMARY!$C$1</f>
        <v>Science</v>
      </c>
      <c r="FM9" s="53"/>
      <c r="FN9" s="53"/>
      <c r="FO9" s="53"/>
      <c r="FP9" s="53"/>
      <c r="FQ9" s="11"/>
      <c r="FR9" s="11"/>
      <c r="FS9" s="65" t="s">
        <v>10</v>
      </c>
      <c r="FT9" s="65"/>
      <c r="FU9" s="53">
        <f>[1]SUMMARY!$A$1</f>
        <v>10</v>
      </c>
      <c r="FV9" s="53"/>
      <c r="FW9" s="53"/>
      <c r="FX9" s="53"/>
      <c r="GA9" s="63" t="s">
        <v>32</v>
      </c>
      <c r="GB9" s="63"/>
      <c r="GC9" s="53" t="str">
        <f>[1]SUMMARY!$C$1</f>
        <v>Science</v>
      </c>
      <c r="GD9" s="53"/>
      <c r="GE9" s="53"/>
      <c r="GF9" s="53"/>
      <c r="GG9" s="53"/>
      <c r="GH9" s="11"/>
      <c r="GI9" s="11"/>
      <c r="GJ9" s="65" t="s">
        <v>10</v>
      </c>
      <c r="GK9" s="65"/>
      <c r="GL9" s="53">
        <f>[1]SUMMARY!$A$1</f>
        <v>10</v>
      </c>
      <c r="GM9" s="53"/>
      <c r="GN9" s="53"/>
      <c r="GO9" s="53"/>
      <c r="GQ9" s="63" t="s">
        <v>32</v>
      </c>
      <c r="GR9" s="63"/>
      <c r="GS9" s="53" t="str">
        <f>[1]SUMMARY!$C$1</f>
        <v>Science</v>
      </c>
      <c r="GT9" s="53"/>
      <c r="GU9" s="53"/>
      <c r="GV9" s="53"/>
      <c r="GW9" s="53"/>
      <c r="GX9" s="11"/>
      <c r="GY9" s="11"/>
      <c r="GZ9" s="65" t="s">
        <v>10</v>
      </c>
      <c r="HA9" s="65"/>
      <c r="HB9" s="53">
        <f>[1]SUMMARY!$A$1</f>
        <v>10</v>
      </c>
      <c r="HC9" s="53"/>
      <c r="HD9" s="53"/>
      <c r="HE9" s="53"/>
      <c r="HH9" s="63" t="s">
        <v>32</v>
      </c>
      <c r="HI9" s="63"/>
      <c r="HJ9" s="53" t="str">
        <f>[1]SUMMARY!$C$1</f>
        <v>Science</v>
      </c>
      <c r="HK9" s="53"/>
      <c r="HL9" s="53"/>
      <c r="HM9" s="53"/>
      <c r="HN9" s="53"/>
      <c r="HO9" s="11"/>
      <c r="HP9" s="11"/>
      <c r="HQ9" s="65" t="s">
        <v>10</v>
      </c>
      <c r="HR9" s="65"/>
      <c r="HS9" s="53">
        <f>[1]SUMMARY!$A$1</f>
        <v>10</v>
      </c>
      <c r="HT9" s="53"/>
      <c r="HU9" s="53"/>
      <c r="HV9" s="53"/>
      <c r="HX9" s="63" t="s">
        <v>32</v>
      </c>
      <c r="HY9" s="63"/>
      <c r="HZ9" s="53" t="str">
        <f>[1]SUMMARY!$C$1</f>
        <v>Science</v>
      </c>
      <c r="IA9" s="53"/>
      <c r="IB9" s="53"/>
      <c r="IC9" s="53"/>
      <c r="ID9" s="53"/>
      <c r="IE9" s="11"/>
      <c r="IF9" s="11"/>
      <c r="IG9" s="65" t="s">
        <v>10</v>
      </c>
      <c r="IH9" s="65"/>
      <c r="II9" s="53">
        <f>[1]SUMMARY!$A$1</f>
        <v>10</v>
      </c>
      <c r="IJ9" s="53"/>
      <c r="IK9" s="53"/>
      <c r="IL9" s="53"/>
      <c r="IO9" s="63" t="s">
        <v>32</v>
      </c>
      <c r="IP9" s="63"/>
      <c r="IQ9" s="53" t="str">
        <f>[1]SUMMARY!$C$1</f>
        <v>Science</v>
      </c>
      <c r="IR9" s="53"/>
      <c r="IS9" s="53"/>
      <c r="IT9" s="53"/>
      <c r="IU9" s="53"/>
      <c r="IV9" s="11"/>
      <c r="IW9" s="11"/>
      <c r="IX9" s="65" t="s">
        <v>10</v>
      </c>
      <c r="IY9" s="65"/>
      <c r="IZ9" s="53">
        <f>[1]SUMMARY!$A$1</f>
        <v>10</v>
      </c>
      <c r="JA9" s="53"/>
      <c r="JB9" s="53"/>
      <c r="JC9" s="53"/>
      <c r="JE9" s="63" t="s">
        <v>32</v>
      </c>
      <c r="JF9" s="63"/>
      <c r="JG9" s="53" t="str">
        <f>[1]SUMMARY!$C$1</f>
        <v>Science</v>
      </c>
      <c r="JH9" s="53"/>
      <c r="JI9" s="53"/>
      <c r="JJ9" s="53"/>
      <c r="JK9" s="53"/>
      <c r="JL9" s="11"/>
      <c r="JM9" s="11"/>
      <c r="JN9" s="65" t="s">
        <v>10</v>
      </c>
      <c r="JO9" s="65"/>
      <c r="JP9" s="53">
        <f>[1]SUMMARY!$A$1</f>
        <v>10</v>
      </c>
      <c r="JQ9" s="53"/>
      <c r="JR9" s="53"/>
      <c r="JS9" s="53"/>
      <c r="JV9" s="63" t="s">
        <v>32</v>
      </c>
      <c r="JW9" s="63"/>
      <c r="JX9" s="53" t="str">
        <f>[1]SUMMARY!$C$1</f>
        <v>Science</v>
      </c>
      <c r="JY9" s="53"/>
      <c r="JZ9" s="53"/>
      <c r="KA9" s="53"/>
      <c r="KB9" s="53"/>
      <c r="KC9" s="11"/>
      <c r="KD9" s="11"/>
      <c r="KE9" s="65" t="s">
        <v>10</v>
      </c>
      <c r="KF9" s="65"/>
      <c r="KG9" s="53">
        <f>[1]SUMMARY!$A$1</f>
        <v>10</v>
      </c>
      <c r="KH9" s="53"/>
      <c r="KI9" s="53"/>
      <c r="KJ9" s="53"/>
      <c r="KL9" s="63" t="s">
        <v>32</v>
      </c>
      <c r="KM9" s="63"/>
      <c r="KN9" s="53" t="str">
        <f>[1]SUMMARY!$C$1</f>
        <v>Science</v>
      </c>
      <c r="KO9" s="53"/>
      <c r="KP9" s="53"/>
      <c r="KQ9" s="53"/>
      <c r="KR9" s="53"/>
      <c r="KS9" s="11"/>
      <c r="KT9" s="11"/>
      <c r="KU9" s="65" t="s">
        <v>10</v>
      </c>
      <c r="KV9" s="65"/>
      <c r="KW9" s="53">
        <f>[1]SUMMARY!$A$1</f>
        <v>10</v>
      </c>
      <c r="KX9" s="53"/>
      <c r="KY9" s="53"/>
      <c r="KZ9" s="53"/>
      <c r="LC9" s="63" t="s">
        <v>32</v>
      </c>
      <c r="LD9" s="63"/>
      <c r="LE9" s="53" t="str">
        <f>[1]SUMMARY!$C$1</f>
        <v>Science</v>
      </c>
      <c r="LF9" s="53"/>
      <c r="LG9" s="53"/>
      <c r="LH9" s="53"/>
      <c r="LI9" s="53"/>
      <c r="LJ9" s="11"/>
      <c r="LK9" s="11"/>
      <c r="LL9" s="65" t="s">
        <v>10</v>
      </c>
      <c r="LM9" s="65"/>
      <c r="LN9" s="53">
        <f>[1]SUMMARY!$A$1</f>
        <v>10</v>
      </c>
      <c r="LO9" s="53"/>
      <c r="LP9" s="53"/>
      <c r="LQ9" s="53"/>
    </row>
    <row r="10" spans="1:330" s="9" customFormat="1" x14ac:dyDescent="0.3">
      <c r="A10" s="63" t="s">
        <v>11</v>
      </c>
      <c r="B10" s="63"/>
      <c r="C10" s="53" t="str">
        <f>[1]SUMMARY!$D$1</f>
        <v>2024-2025</v>
      </c>
      <c r="D10" s="53"/>
      <c r="E10" s="53"/>
      <c r="F10" s="53"/>
      <c r="G10" s="53"/>
      <c r="H10" s="11"/>
      <c r="I10" s="11"/>
      <c r="J10" s="65" t="s">
        <v>12</v>
      </c>
      <c r="K10" s="65"/>
      <c r="L10" s="53" t="str">
        <f>[1]SUMMARY!$B$1</f>
        <v>Agoho</v>
      </c>
      <c r="M10" s="53"/>
      <c r="N10" s="53"/>
      <c r="O10" s="53"/>
      <c r="R10" s="63" t="s">
        <v>11</v>
      </c>
      <c r="S10" s="63"/>
      <c r="T10" s="64" t="str">
        <f>[1]SUMMARY!$D$1</f>
        <v>2024-2025</v>
      </c>
      <c r="U10" s="64"/>
      <c r="V10" s="64"/>
      <c r="W10" s="64"/>
      <c r="X10" s="64"/>
      <c r="Y10" s="11"/>
      <c r="Z10" s="11"/>
      <c r="AA10" s="65" t="s">
        <v>12</v>
      </c>
      <c r="AB10" s="65"/>
      <c r="AC10" s="64" t="str">
        <f>[1]SUMMARY!$B$1</f>
        <v>Agoho</v>
      </c>
      <c r="AD10" s="64"/>
      <c r="AE10" s="64"/>
      <c r="AF10" s="64"/>
      <c r="AH10" s="63" t="s">
        <v>11</v>
      </c>
      <c r="AI10" s="63"/>
      <c r="AJ10" s="53" t="str">
        <f>[1]SUMMARY!$D$1</f>
        <v>2024-2025</v>
      </c>
      <c r="AK10" s="53"/>
      <c r="AL10" s="53"/>
      <c r="AM10" s="53"/>
      <c r="AN10" s="53"/>
      <c r="AO10" s="11"/>
      <c r="AP10" s="11"/>
      <c r="AQ10" s="65" t="s">
        <v>12</v>
      </c>
      <c r="AR10" s="65"/>
      <c r="AS10" s="53" t="str">
        <f>[1]SUMMARY!$B$1</f>
        <v>Agoho</v>
      </c>
      <c r="AT10" s="53"/>
      <c r="AU10" s="53"/>
      <c r="AV10" s="53"/>
      <c r="AY10" s="63" t="s">
        <v>11</v>
      </c>
      <c r="AZ10" s="63"/>
      <c r="BA10" s="53" t="str">
        <f>[1]SUMMARY!$D$1</f>
        <v>2024-2025</v>
      </c>
      <c r="BB10" s="53"/>
      <c r="BC10" s="53"/>
      <c r="BD10" s="53"/>
      <c r="BE10" s="53"/>
      <c r="BF10" s="11"/>
      <c r="BG10" s="11"/>
      <c r="BH10" s="65" t="s">
        <v>12</v>
      </c>
      <c r="BI10" s="65"/>
      <c r="BJ10" s="53" t="str">
        <f>[1]SUMMARY!$B$1</f>
        <v>Agoho</v>
      </c>
      <c r="BK10" s="53"/>
      <c r="BL10" s="53"/>
      <c r="BM10" s="53"/>
      <c r="BO10" s="63" t="s">
        <v>11</v>
      </c>
      <c r="BP10" s="63"/>
      <c r="BQ10" s="53" t="str">
        <f>[1]SUMMARY!$D$1</f>
        <v>2024-2025</v>
      </c>
      <c r="BR10" s="53"/>
      <c r="BS10" s="53"/>
      <c r="BT10" s="53"/>
      <c r="BU10" s="53"/>
      <c r="BV10" s="11"/>
      <c r="BW10" s="11"/>
      <c r="BX10" s="65" t="s">
        <v>12</v>
      </c>
      <c r="BY10" s="65"/>
      <c r="BZ10" s="53" t="str">
        <f>[1]SUMMARY!$B$1</f>
        <v>Agoho</v>
      </c>
      <c r="CA10" s="53"/>
      <c r="CB10" s="53"/>
      <c r="CC10" s="53"/>
      <c r="CF10" s="63" t="s">
        <v>11</v>
      </c>
      <c r="CG10" s="63"/>
      <c r="CH10" s="53" t="str">
        <f>[1]SUMMARY!$D$1</f>
        <v>2024-2025</v>
      </c>
      <c r="CI10" s="53"/>
      <c r="CJ10" s="53"/>
      <c r="CK10" s="53"/>
      <c r="CL10" s="53"/>
      <c r="CM10" s="11"/>
      <c r="CN10" s="11"/>
      <c r="CO10" s="65" t="s">
        <v>12</v>
      </c>
      <c r="CP10" s="65"/>
      <c r="CQ10" s="53" t="str">
        <f>[1]SUMMARY!$B$1</f>
        <v>Agoho</v>
      </c>
      <c r="CR10" s="53"/>
      <c r="CS10" s="53"/>
      <c r="CT10" s="53"/>
      <c r="CV10" s="63" t="s">
        <v>11</v>
      </c>
      <c r="CW10" s="63"/>
      <c r="CX10" s="53" t="str">
        <f>[1]SUMMARY!$D$1</f>
        <v>2024-2025</v>
      </c>
      <c r="CY10" s="53"/>
      <c r="CZ10" s="53"/>
      <c r="DA10" s="53"/>
      <c r="DB10" s="53"/>
      <c r="DC10" s="11"/>
      <c r="DD10" s="11"/>
      <c r="DE10" s="65" t="s">
        <v>12</v>
      </c>
      <c r="DF10" s="65"/>
      <c r="DG10" s="53" t="str">
        <f>[1]SUMMARY!$B$1</f>
        <v>Agoho</v>
      </c>
      <c r="DH10" s="53"/>
      <c r="DI10" s="53"/>
      <c r="DJ10" s="53"/>
      <c r="DM10" s="63" t="s">
        <v>11</v>
      </c>
      <c r="DN10" s="63"/>
      <c r="DO10" s="53" t="str">
        <f>[1]SUMMARY!$D$1</f>
        <v>2024-2025</v>
      </c>
      <c r="DP10" s="53"/>
      <c r="DQ10" s="53"/>
      <c r="DR10" s="53"/>
      <c r="DS10" s="53"/>
      <c r="DT10" s="11"/>
      <c r="DU10" s="11"/>
      <c r="DV10" s="65" t="s">
        <v>12</v>
      </c>
      <c r="DW10" s="65"/>
      <c r="DX10" s="53" t="str">
        <f>[1]SUMMARY!$B$1</f>
        <v>Agoho</v>
      </c>
      <c r="DY10" s="53"/>
      <c r="DZ10" s="53"/>
      <c r="EA10" s="53"/>
      <c r="EC10" s="63" t="s">
        <v>11</v>
      </c>
      <c r="ED10" s="63"/>
      <c r="EE10" s="53" t="str">
        <f>[1]SUMMARY!$D$1</f>
        <v>2024-2025</v>
      </c>
      <c r="EF10" s="53"/>
      <c r="EG10" s="53"/>
      <c r="EH10" s="53"/>
      <c r="EI10" s="53"/>
      <c r="EJ10" s="11"/>
      <c r="EK10" s="11"/>
      <c r="EL10" s="65" t="s">
        <v>12</v>
      </c>
      <c r="EM10" s="65"/>
      <c r="EN10" s="53" t="str">
        <f>[1]SUMMARY!$B$1</f>
        <v>Agoho</v>
      </c>
      <c r="EO10" s="53"/>
      <c r="EP10" s="53"/>
      <c r="EQ10" s="53"/>
      <c r="ET10" s="63" t="s">
        <v>11</v>
      </c>
      <c r="EU10" s="63"/>
      <c r="EV10" s="53" t="str">
        <f>[1]SUMMARY!$D$1</f>
        <v>2024-2025</v>
      </c>
      <c r="EW10" s="53"/>
      <c r="EX10" s="53"/>
      <c r="EY10" s="53"/>
      <c r="EZ10" s="53"/>
      <c r="FA10" s="11"/>
      <c r="FB10" s="11"/>
      <c r="FC10" s="65" t="s">
        <v>12</v>
      </c>
      <c r="FD10" s="65"/>
      <c r="FE10" s="53" t="str">
        <f>[1]SUMMARY!$B$1</f>
        <v>Agoho</v>
      </c>
      <c r="FF10" s="53"/>
      <c r="FG10" s="53"/>
      <c r="FH10" s="53"/>
      <c r="FJ10" s="63" t="s">
        <v>11</v>
      </c>
      <c r="FK10" s="63"/>
      <c r="FL10" s="53" t="str">
        <f>[1]SUMMARY!$D$1</f>
        <v>2024-2025</v>
      </c>
      <c r="FM10" s="53"/>
      <c r="FN10" s="53"/>
      <c r="FO10" s="53"/>
      <c r="FP10" s="53"/>
      <c r="FQ10" s="11"/>
      <c r="FR10" s="11"/>
      <c r="FS10" s="65" t="s">
        <v>12</v>
      </c>
      <c r="FT10" s="65"/>
      <c r="FU10" s="53" t="str">
        <f>[1]SUMMARY!$B$1</f>
        <v>Agoho</v>
      </c>
      <c r="FV10" s="53"/>
      <c r="FW10" s="53"/>
      <c r="FX10" s="53"/>
      <c r="GA10" s="63" t="s">
        <v>11</v>
      </c>
      <c r="GB10" s="63"/>
      <c r="GC10" s="53" t="str">
        <f>[1]SUMMARY!$D$1</f>
        <v>2024-2025</v>
      </c>
      <c r="GD10" s="53"/>
      <c r="GE10" s="53"/>
      <c r="GF10" s="53"/>
      <c r="GG10" s="53"/>
      <c r="GH10" s="11"/>
      <c r="GI10" s="11"/>
      <c r="GJ10" s="65" t="s">
        <v>12</v>
      </c>
      <c r="GK10" s="65"/>
      <c r="GL10" s="53" t="str">
        <f>[1]SUMMARY!$B$1</f>
        <v>Agoho</v>
      </c>
      <c r="GM10" s="53"/>
      <c r="GN10" s="53"/>
      <c r="GO10" s="53"/>
      <c r="GQ10" s="63" t="s">
        <v>11</v>
      </c>
      <c r="GR10" s="63"/>
      <c r="GS10" s="53" t="str">
        <f>[1]SUMMARY!$D$1</f>
        <v>2024-2025</v>
      </c>
      <c r="GT10" s="53"/>
      <c r="GU10" s="53"/>
      <c r="GV10" s="53"/>
      <c r="GW10" s="53"/>
      <c r="GX10" s="11"/>
      <c r="GY10" s="11"/>
      <c r="GZ10" s="65" t="s">
        <v>12</v>
      </c>
      <c r="HA10" s="65"/>
      <c r="HB10" s="53" t="str">
        <f>[1]SUMMARY!$B$1</f>
        <v>Agoho</v>
      </c>
      <c r="HC10" s="53"/>
      <c r="HD10" s="53"/>
      <c r="HE10" s="53"/>
      <c r="HH10" s="63" t="s">
        <v>11</v>
      </c>
      <c r="HI10" s="63"/>
      <c r="HJ10" s="53" t="str">
        <f>[1]SUMMARY!$D$1</f>
        <v>2024-2025</v>
      </c>
      <c r="HK10" s="53"/>
      <c r="HL10" s="53"/>
      <c r="HM10" s="53"/>
      <c r="HN10" s="53"/>
      <c r="HO10" s="11"/>
      <c r="HP10" s="11"/>
      <c r="HQ10" s="65" t="s">
        <v>12</v>
      </c>
      <c r="HR10" s="65"/>
      <c r="HS10" s="53" t="str">
        <f>[1]SUMMARY!$B$1</f>
        <v>Agoho</v>
      </c>
      <c r="HT10" s="53"/>
      <c r="HU10" s="53"/>
      <c r="HV10" s="53"/>
      <c r="HX10" s="63" t="s">
        <v>11</v>
      </c>
      <c r="HY10" s="63"/>
      <c r="HZ10" s="53" t="str">
        <f>[1]SUMMARY!$D$1</f>
        <v>2024-2025</v>
      </c>
      <c r="IA10" s="53"/>
      <c r="IB10" s="53"/>
      <c r="IC10" s="53"/>
      <c r="ID10" s="53"/>
      <c r="IE10" s="11"/>
      <c r="IF10" s="11"/>
      <c r="IG10" s="65" t="s">
        <v>12</v>
      </c>
      <c r="IH10" s="65"/>
      <c r="II10" s="53" t="str">
        <f>[1]SUMMARY!$B$1</f>
        <v>Agoho</v>
      </c>
      <c r="IJ10" s="53"/>
      <c r="IK10" s="53"/>
      <c r="IL10" s="53"/>
      <c r="IO10" s="63" t="s">
        <v>11</v>
      </c>
      <c r="IP10" s="63"/>
      <c r="IQ10" s="53" t="str">
        <f>[1]SUMMARY!$D$1</f>
        <v>2024-2025</v>
      </c>
      <c r="IR10" s="53"/>
      <c r="IS10" s="53"/>
      <c r="IT10" s="53"/>
      <c r="IU10" s="53"/>
      <c r="IV10" s="11"/>
      <c r="IW10" s="11"/>
      <c r="IX10" s="65" t="s">
        <v>12</v>
      </c>
      <c r="IY10" s="65"/>
      <c r="IZ10" s="53" t="str">
        <f>[1]SUMMARY!$B$1</f>
        <v>Agoho</v>
      </c>
      <c r="JA10" s="53"/>
      <c r="JB10" s="53"/>
      <c r="JC10" s="53"/>
      <c r="JE10" s="63" t="s">
        <v>11</v>
      </c>
      <c r="JF10" s="63"/>
      <c r="JG10" s="53" t="str">
        <f>[1]SUMMARY!$D$1</f>
        <v>2024-2025</v>
      </c>
      <c r="JH10" s="53"/>
      <c r="JI10" s="53"/>
      <c r="JJ10" s="53"/>
      <c r="JK10" s="53"/>
      <c r="JL10" s="11"/>
      <c r="JM10" s="11"/>
      <c r="JN10" s="65" t="s">
        <v>12</v>
      </c>
      <c r="JO10" s="65"/>
      <c r="JP10" s="53" t="str">
        <f>[1]SUMMARY!$B$1</f>
        <v>Agoho</v>
      </c>
      <c r="JQ10" s="53"/>
      <c r="JR10" s="53"/>
      <c r="JS10" s="53"/>
      <c r="JV10" s="63" t="s">
        <v>11</v>
      </c>
      <c r="JW10" s="63"/>
      <c r="JX10" s="53" t="str">
        <f>[1]SUMMARY!$D$1</f>
        <v>2024-2025</v>
      </c>
      <c r="JY10" s="53"/>
      <c r="JZ10" s="53"/>
      <c r="KA10" s="53"/>
      <c r="KB10" s="53"/>
      <c r="KC10" s="11"/>
      <c r="KD10" s="11"/>
      <c r="KE10" s="65" t="s">
        <v>12</v>
      </c>
      <c r="KF10" s="65"/>
      <c r="KG10" s="53" t="str">
        <f>[1]SUMMARY!$B$1</f>
        <v>Agoho</v>
      </c>
      <c r="KH10" s="53"/>
      <c r="KI10" s="53"/>
      <c r="KJ10" s="53"/>
      <c r="KL10" s="63" t="s">
        <v>11</v>
      </c>
      <c r="KM10" s="63"/>
      <c r="KN10" s="53" t="str">
        <f>[1]SUMMARY!$D$1</f>
        <v>2024-2025</v>
      </c>
      <c r="KO10" s="53"/>
      <c r="KP10" s="53"/>
      <c r="KQ10" s="53"/>
      <c r="KR10" s="53"/>
      <c r="KS10" s="11"/>
      <c r="KT10" s="11"/>
      <c r="KU10" s="65" t="s">
        <v>12</v>
      </c>
      <c r="KV10" s="65"/>
      <c r="KW10" s="53" t="str">
        <f>[1]SUMMARY!$B$1</f>
        <v>Agoho</v>
      </c>
      <c r="KX10" s="53"/>
      <c r="KY10" s="53"/>
      <c r="KZ10" s="53"/>
      <c r="LC10" s="63" t="s">
        <v>11</v>
      </c>
      <c r="LD10" s="63"/>
      <c r="LE10" s="53" t="str">
        <f>[1]SUMMARY!$D$1</f>
        <v>2024-2025</v>
      </c>
      <c r="LF10" s="53"/>
      <c r="LG10" s="53"/>
      <c r="LH10" s="53"/>
      <c r="LI10" s="53"/>
      <c r="LJ10" s="11"/>
      <c r="LK10" s="11"/>
      <c r="LL10" s="65" t="s">
        <v>12</v>
      </c>
      <c r="LM10" s="65"/>
      <c r="LN10" s="53" t="str">
        <f>[1]SUMMARY!$B$1</f>
        <v>Agoho</v>
      </c>
      <c r="LO10" s="53"/>
      <c r="LP10" s="53"/>
      <c r="LQ10" s="53"/>
    </row>
    <row r="11" spans="1:330" ht="8.5500000000000007" customHeight="1" x14ac:dyDescent="0.3"/>
    <row r="12" spans="1:330" s="12" customFormat="1" ht="14.55" customHeight="1" x14ac:dyDescent="0.3">
      <c r="B12" s="72" t="s">
        <v>13</v>
      </c>
      <c r="C12" s="72"/>
      <c r="D12" s="72"/>
      <c r="E12" s="72"/>
      <c r="F12" s="72"/>
      <c r="G12" s="72" t="s">
        <v>31</v>
      </c>
      <c r="H12" s="72"/>
      <c r="I12" s="72"/>
      <c r="J12" s="72"/>
      <c r="K12" s="73" t="s">
        <v>14</v>
      </c>
      <c r="L12" s="74"/>
      <c r="M12" s="77" t="s">
        <v>15</v>
      </c>
      <c r="N12" s="77"/>
      <c r="S12" s="66" t="s">
        <v>13</v>
      </c>
      <c r="T12" s="67"/>
      <c r="U12" s="67"/>
      <c r="V12" s="67"/>
      <c r="W12" s="68"/>
      <c r="X12" s="72" t="s">
        <v>31</v>
      </c>
      <c r="Y12" s="72"/>
      <c r="Z12" s="72"/>
      <c r="AA12" s="72"/>
      <c r="AB12" s="73" t="s">
        <v>14</v>
      </c>
      <c r="AC12" s="74"/>
      <c r="AD12" s="77" t="s">
        <v>15</v>
      </c>
      <c r="AE12" s="77"/>
      <c r="AI12" s="72" t="s">
        <v>13</v>
      </c>
      <c r="AJ12" s="72"/>
      <c r="AK12" s="72"/>
      <c r="AL12" s="72"/>
      <c r="AM12" s="72"/>
      <c r="AN12" s="72" t="s">
        <v>31</v>
      </c>
      <c r="AO12" s="72"/>
      <c r="AP12" s="72"/>
      <c r="AQ12" s="72"/>
      <c r="AR12" s="73" t="s">
        <v>14</v>
      </c>
      <c r="AS12" s="74"/>
      <c r="AT12" s="77" t="s">
        <v>15</v>
      </c>
      <c r="AU12" s="77"/>
      <c r="AZ12" s="72" t="s">
        <v>13</v>
      </c>
      <c r="BA12" s="72"/>
      <c r="BB12" s="72"/>
      <c r="BC12" s="72"/>
      <c r="BD12" s="72"/>
      <c r="BE12" s="72" t="s">
        <v>31</v>
      </c>
      <c r="BF12" s="72"/>
      <c r="BG12" s="72"/>
      <c r="BH12" s="72"/>
      <c r="BI12" s="73" t="s">
        <v>14</v>
      </c>
      <c r="BJ12" s="74"/>
      <c r="BK12" s="77" t="s">
        <v>15</v>
      </c>
      <c r="BL12" s="77"/>
      <c r="BP12" s="72" t="s">
        <v>13</v>
      </c>
      <c r="BQ12" s="72"/>
      <c r="BR12" s="72"/>
      <c r="BS12" s="72"/>
      <c r="BT12" s="72"/>
      <c r="BU12" s="72" t="s">
        <v>31</v>
      </c>
      <c r="BV12" s="72"/>
      <c r="BW12" s="72"/>
      <c r="BX12" s="72"/>
      <c r="BY12" s="73" t="s">
        <v>14</v>
      </c>
      <c r="BZ12" s="74"/>
      <c r="CA12" s="77" t="s">
        <v>15</v>
      </c>
      <c r="CB12" s="77"/>
      <c r="CG12" s="72" t="s">
        <v>13</v>
      </c>
      <c r="CH12" s="72"/>
      <c r="CI12" s="72"/>
      <c r="CJ12" s="72"/>
      <c r="CK12" s="72"/>
      <c r="CL12" s="72" t="s">
        <v>31</v>
      </c>
      <c r="CM12" s="72"/>
      <c r="CN12" s="72"/>
      <c r="CO12" s="72"/>
      <c r="CP12" s="73" t="s">
        <v>14</v>
      </c>
      <c r="CQ12" s="74"/>
      <c r="CR12" s="77" t="s">
        <v>15</v>
      </c>
      <c r="CS12" s="77"/>
      <c r="CW12" s="72" t="s">
        <v>13</v>
      </c>
      <c r="CX12" s="72"/>
      <c r="CY12" s="72"/>
      <c r="CZ12" s="72"/>
      <c r="DA12" s="72"/>
      <c r="DB12" s="72" t="s">
        <v>31</v>
      </c>
      <c r="DC12" s="72"/>
      <c r="DD12" s="72"/>
      <c r="DE12" s="72"/>
      <c r="DF12" s="73" t="s">
        <v>14</v>
      </c>
      <c r="DG12" s="74"/>
      <c r="DH12" s="77" t="s">
        <v>15</v>
      </c>
      <c r="DI12" s="77"/>
      <c r="DN12" s="72" t="s">
        <v>13</v>
      </c>
      <c r="DO12" s="72"/>
      <c r="DP12" s="72"/>
      <c r="DQ12" s="72"/>
      <c r="DR12" s="72"/>
      <c r="DS12" s="72" t="s">
        <v>31</v>
      </c>
      <c r="DT12" s="72"/>
      <c r="DU12" s="72"/>
      <c r="DV12" s="72"/>
      <c r="DW12" s="73" t="s">
        <v>14</v>
      </c>
      <c r="DX12" s="74"/>
      <c r="DY12" s="77" t="s">
        <v>15</v>
      </c>
      <c r="DZ12" s="77"/>
      <c r="ED12" s="72" t="s">
        <v>13</v>
      </c>
      <c r="EE12" s="72"/>
      <c r="EF12" s="72"/>
      <c r="EG12" s="72"/>
      <c r="EH12" s="72"/>
      <c r="EI12" s="72" t="s">
        <v>31</v>
      </c>
      <c r="EJ12" s="72"/>
      <c r="EK12" s="72"/>
      <c r="EL12" s="72"/>
      <c r="EM12" s="73" t="s">
        <v>14</v>
      </c>
      <c r="EN12" s="74"/>
      <c r="EO12" s="77" t="s">
        <v>15</v>
      </c>
      <c r="EP12" s="77"/>
      <c r="EU12" s="72" t="s">
        <v>13</v>
      </c>
      <c r="EV12" s="72"/>
      <c r="EW12" s="72"/>
      <c r="EX12" s="72"/>
      <c r="EY12" s="72"/>
      <c r="EZ12" s="72" t="s">
        <v>31</v>
      </c>
      <c r="FA12" s="72"/>
      <c r="FB12" s="72"/>
      <c r="FC12" s="72"/>
      <c r="FD12" s="73" t="s">
        <v>14</v>
      </c>
      <c r="FE12" s="74"/>
      <c r="FF12" s="77" t="s">
        <v>15</v>
      </c>
      <c r="FG12" s="77"/>
      <c r="FK12" s="72" t="s">
        <v>13</v>
      </c>
      <c r="FL12" s="72"/>
      <c r="FM12" s="72"/>
      <c r="FN12" s="72"/>
      <c r="FO12" s="72"/>
      <c r="FP12" s="72" t="s">
        <v>31</v>
      </c>
      <c r="FQ12" s="72"/>
      <c r="FR12" s="72"/>
      <c r="FS12" s="72"/>
      <c r="FT12" s="73" t="s">
        <v>14</v>
      </c>
      <c r="FU12" s="74"/>
      <c r="FV12" s="77" t="s">
        <v>15</v>
      </c>
      <c r="FW12" s="77"/>
      <c r="GB12" s="72" t="s">
        <v>13</v>
      </c>
      <c r="GC12" s="72"/>
      <c r="GD12" s="72"/>
      <c r="GE12" s="72"/>
      <c r="GF12" s="72"/>
      <c r="GG12" s="72" t="s">
        <v>31</v>
      </c>
      <c r="GH12" s="72"/>
      <c r="GI12" s="72"/>
      <c r="GJ12" s="72"/>
      <c r="GK12" s="73" t="s">
        <v>14</v>
      </c>
      <c r="GL12" s="74"/>
      <c r="GM12" s="77" t="s">
        <v>15</v>
      </c>
      <c r="GN12" s="77"/>
      <c r="GR12" s="72" t="s">
        <v>13</v>
      </c>
      <c r="GS12" s="72"/>
      <c r="GT12" s="72"/>
      <c r="GU12" s="72"/>
      <c r="GV12" s="72"/>
      <c r="GW12" s="72" t="s">
        <v>31</v>
      </c>
      <c r="GX12" s="72"/>
      <c r="GY12" s="72"/>
      <c r="GZ12" s="72"/>
      <c r="HA12" s="73" t="s">
        <v>14</v>
      </c>
      <c r="HB12" s="74"/>
      <c r="HC12" s="77" t="s">
        <v>15</v>
      </c>
      <c r="HD12" s="77"/>
      <c r="HI12" s="72" t="s">
        <v>13</v>
      </c>
      <c r="HJ12" s="72"/>
      <c r="HK12" s="72"/>
      <c r="HL12" s="72"/>
      <c r="HM12" s="72"/>
      <c r="HN12" s="72" t="s">
        <v>31</v>
      </c>
      <c r="HO12" s="72"/>
      <c r="HP12" s="72"/>
      <c r="HQ12" s="72"/>
      <c r="HR12" s="73" t="s">
        <v>14</v>
      </c>
      <c r="HS12" s="74"/>
      <c r="HT12" s="77" t="s">
        <v>15</v>
      </c>
      <c r="HU12" s="77"/>
      <c r="HY12" s="72" t="s">
        <v>13</v>
      </c>
      <c r="HZ12" s="72"/>
      <c r="IA12" s="72"/>
      <c r="IB12" s="72"/>
      <c r="IC12" s="72"/>
      <c r="ID12" s="72" t="s">
        <v>31</v>
      </c>
      <c r="IE12" s="72"/>
      <c r="IF12" s="72"/>
      <c r="IG12" s="72"/>
      <c r="IH12" s="73" t="s">
        <v>14</v>
      </c>
      <c r="II12" s="74"/>
      <c r="IJ12" s="77" t="s">
        <v>15</v>
      </c>
      <c r="IK12" s="77"/>
      <c r="IP12" s="72" t="s">
        <v>13</v>
      </c>
      <c r="IQ12" s="72"/>
      <c r="IR12" s="72"/>
      <c r="IS12" s="72"/>
      <c r="IT12" s="72"/>
      <c r="IU12" s="72" t="s">
        <v>31</v>
      </c>
      <c r="IV12" s="72"/>
      <c r="IW12" s="72"/>
      <c r="IX12" s="72"/>
      <c r="IY12" s="73" t="s">
        <v>14</v>
      </c>
      <c r="IZ12" s="74"/>
      <c r="JA12" s="77" t="s">
        <v>15</v>
      </c>
      <c r="JB12" s="77"/>
      <c r="JF12" s="72" t="s">
        <v>13</v>
      </c>
      <c r="JG12" s="72"/>
      <c r="JH12" s="72"/>
      <c r="JI12" s="72"/>
      <c r="JJ12" s="72"/>
      <c r="JK12" s="72" t="s">
        <v>31</v>
      </c>
      <c r="JL12" s="72"/>
      <c r="JM12" s="72"/>
      <c r="JN12" s="72"/>
      <c r="JO12" s="73" t="s">
        <v>14</v>
      </c>
      <c r="JP12" s="74"/>
      <c r="JQ12" s="77" t="s">
        <v>15</v>
      </c>
      <c r="JR12" s="77"/>
      <c r="JW12" s="72" t="s">
        <v>13</v>
      </c>
      <c r="JX12" s="72"/>
      <c r="JY12" s="72"/>
      <c r="JZ12" s="72"/>
      <c r="KA12" s="72"/>
      <c r="KB12" s="72" t="s">
        <v>31</v>
      </c>
      <c r="KC12" s="72"/>
      <c r="KD12" s="72"/>
      <c r="KE12" s="72"/>
      <c r="KF12" s="73" t="s">
        <v>14</v>
      </c>
      <c r="KG12" s="74"/>
      <c r="KH12" s="77" t="s">
        <v>15</v>
      </c>
      <c r="KI12" s="77"/>
      <c r="KJ12" s="85"/>
      <c r="KM12" s="72" t="s">
        <v>13</v>
      </c>
      <c r="KN12" s="72"/>
      <c r="KO12" s="72"/>
      <c r="KP12" s="72"/>
      <c r="KQ12" s="72"/>
      <c r="KR12" s="72" t="s">
        <v>31</v>
      </c>
      <c r="KS12" s="72"/>
      <c r="KT12" s="72"/>
      <c r="KU12" s="72"/>
      <c r="KV12" s="73" t="s">
        <v>14</v>
      </c>
      <c r="KW12" s="74"/>
      <c r="KX12" s="77" t="s">
        <v>15</v>
      </c>
      <c r="KY12" s="77"/>
      <c r="KZ12" s="85"/>
      <c r="LD12" s="72" t="s">
        <v>13</v>
      </c>
      <c r="LE12" s="72"/>
      <c r="LF12" s="72"/>
      <c r="LG12" s="72"/>
      <c r="LH12" s="72"/>
      <c r="LI12" s="72" t="s">
        <v>31</v>
      </c>
      <c r="LJ12" s="72"/>
      <c r="LK12" s="72"/>
      <c r="LL12" s="72"/>
      <c r="LM12" s="73" t="s">
        <v>14</v>
      </c>
      <c r="LN12" s="74"/>
      <c r="LO12" s="77" t="s">
        <v>15</v>
      </c>
      <c r="LP12" s="77"/>
    </row>
    <row r="13" spans="1:330" s="12" customFormat="1" x14ac:dyDescent="0.3">
      <c r="B13" s="72"/>
      <c r="C13" s="72"/>
      <c r="D13" s="72"/>
      <c r="E13" s="72"/>
      <c r="F13" s="72"/>
      <c r="G13" s="13">
        <v>1</v>
      </c>
      <c r="H13" s="13">
        <v>2</v>
      </c>
      <c r="I13" s="13">
        <v>3</v>
      </c>
      <c r="J13" s="13">
        <v>4</v>
      </c>
      <c r="K13" s="75"/>
      <c r="L13" s="76"/>
      <c r="M13" s="77"/>
      <c r="N13" s="77"/>
      <c r="S13" s="69"/>
      <c r="T13" s="70"/>
      <c r="U13" s="70"/>
      <c r="V13" s="70"/>
      <c r="W13" s="71"/>
      <c r="X13" s="13">
        <v>1</v>
      </c>
      <c r="Y13" s="13">
        <v>2</v>
      </c>
      <c r="Z13" s="13">
        <v>3</v>
      </c>
      <c r="AA13" s="13">
        <v>4</v>
      </c>
      <c r="AB13" s="75"/>
      <c r="AC13" s="76"/>
      <c r="AD13" s="77"/>
      <c r="AE13" s="77"/>
      <c r="AI13" s="72"/>
      <c r="AJ13" s="72"/>
      <c r="AK13" s="72"/>
      <c r="AL13" s="72"/>
      <c r="AM13" s="72"/>
      <c r="AN13" s="13">
        <v>1</v>
      </c>
      <c r="AO13" s="13">
        <v>2</v>
      </c>
      <c r="AP13" s="13">
        <v>3</v>
      </c>
      <c r="AQ13" s="13">
        <v>4</v>
      </c>
      <c r="AR13" s="75"/>
      <c r="AS13" s="76"/>
      <c r="AT13" s="77"/>
      <c r="AU13" s="77"/>
      <c r="AZ13" s="72"/>
      <c r="BA13" s="72"/>
      <c r="BB13" s="72"/>
      <c r="BC13" s="72"/>
      <c r="BD13" s="72"/>
      <c r="BE13" s="13">
        <v>1</v>
      </c>
      <c r="BF13" s="13">
        <v>2</v>
      </c>
      <c r="BG13" s="13">
        <v>3</v>
      </c>
      <c r="BH13" s="13">
        <v>4</v>
      </c>
      <c r="BI13" s="75"/>
      <c r="BJ13" s="76"/>
      <c r="BK13" s="77"/>
      <c r="BL13" s="77"/>
      <c r="BP13" s="72"/>
      <c r="BQ13" s="72"/>
      <c r="BR13" s="72"/>
      <c r="BS13" s="72"/>
      <c r="BT13" s="72"/>
      <c r="BU13" s="13">
        <v>1</v>
      </c>
      <c r="BV13" s="13">
        <v>2</v>
      </c>
      <c r="BW13" s="13">
        <v>3</v>
      </c>
      <c r="BX13" s="13">
        <v>4</v>
      </c>
      <c r="BY13" s="75"/>
      <c r="BZ13" s="76"/>
      <c r="CA13" s="77"/>
      <c r="CB13" s="77"/>
      <c r="CG13" s="72"/>
      <c r="CH13" s="72"/>
      <c r="CI13" s="72"/>
      <c r="CJ13" s="72"/>
      <c r="CK13" s="72"/>
      <c r="CL13" s="13">
        <v>1</v>
      </c>
      <c r="CM13" s="13">
        <v>2</v>
      </c>
      <c r="CN13" s="13">
        <v>3</v>
      </c>
      <c r="CO13" s="13">
        <v>4</v>
      </c>
      <c r="CP13" s="75"/>
      <c r="CQ13" s="76"/>
      <c r="CR13" s="77"/>
      <c r="CS13" s="77"/>
      <c r="CW13" s="72"/>
      <c r="CX13" s="72"/>
      <c r="CY13" s="72"/>
      <c r="CZ13" s="72"/>
      <c r="DA13" s="72"/>
      <c r="DB13" s="13">
        <v>1</v>
      </c>
      <c r="DC13" s="13">
        <v>2</v>
      </c>
      <c r="DD13" s="13">
        <v>3</v>
      </c>
      <c r="DE13" s="13">
        <v>4</v>
      </c>
      <c r="DF13" s="75"/>
      <c r="DG13" s="76"/>
      <c r="DH13" s="77"/>
      <c r="DI13" s="77"/>
      <c r="DN13" s="72"/>
      <c r="DO13" s="72"/>
      <c r="DP13" s="72"/>
      <c r="DQ13" s="72"/>
      <c r="DR13" s="72"/>
      <c r="DS13" s="13">
        <v>1</v>
      </c>
      <c r="DT13" s="13">
        <v>2</v>
      </c>
      <c r="DU13" s="13">
        <v>3</v>
      </c>
      <c r="DV13" s="13">
        <v>4</v>
      </c>
      <c r="DW13" s="75"/>
      <c r="DX13" s="76"/>
      <c r="DY13" s="77"/>
      <c r="DZ13" s="77"/>
      <c r="ED13" s="72"/>
      <c r="EE13" s="72"/>
      <c r="EF13" s="72"/>
      <c r="EG13" s="72"/>
      <c r="EH13" s="72"/>
      <c r="EI13" s="13">
        <v>1</v>
      </c>
      <c r="EJ13" s="13">
        <v>2</v>
      </c>
      <c r="EK13" s="13">
        <v>3</v>
      </c>
      <c r="EL13" s="13">
        <v>4</v>
      </c>
      <c r="EM13" s="75"/>
      <c r="EN13" s="76"/>
      <c r="EO13" s="77"/>
      <c r="EP13" s="77"/>
      <c r="EU13" s="72"/>
      <c r="EV13" s="72"/>
      <c r="EW13" s="72"/>
      <c r="EX13" s="72"/>
      <c r="EY13" s="72"/>
      <c r="EZ13" s="13">
        <v>1</v>
      </c>
      <c r="FA13" s="13">
        <v>2</v>
      </c>
      <c r="FB13" s="13">
        <v>3</v>
      </c>
      <c r="FC13" s="13">
        <v>4</v>
      </c>
      <c r="FD13" s="75"/>
      <c r="FE13" s="76"/>
      <c r="FF13" s="77"/>
      <c r="FG13" s="77"/>
      <c r="FK13" s="72"/>
      <c r="FL13" s="72"/>
      <c r="FM13" s="72"/>
      <c r="FN13" s="72"/>
      <c r="FO13" s="72"/>
      <c r="FP13" s="13">
        <v>1</v>
      </c>
      <c r="FQ13" s="13">
        <v>2</v>
      </c>
      <c r="FR13" s="13">
        <v>3</v>
      </c>
      <c r="FS13" s="13">
        <v>4</v>
      </c>
      <c r="FT13" s="75"/>
      <c r="FU13" s="76"/>
      <c r="FV13" s="77"/>
      <c r="FW13" s="77"/>
      <c r="GB13" s="72"/>
      <c r="GC13" s="72"/>
      <c r="GD13" s="72"/>
      <c r="GE13" s="72"/>
      <c r="GF13" s="72"/>
      <c r="GG13" s="13">
        <v>1</v>
      </c>
      <c r="GH13" s="13">
        <v>2</v>
      </c>
      <c r="GI13" s="13">
        <v>3</v>
      </c>
      <c r="GJ13" s="13">
        <v>4</v>
      </c>
      <c r="GK13" s="75"/>
      <c r="GL13" s="76"/>
      <c r="GM13" s="77"/>
      <c r="GN13" s="77"/>
      <c r="GR13" s="72"/>
      <c r="GS13" s="72"/>
      <c r="GT13" s="72"/>
      <c r="GU13" s="72"/>
      <c r="GV13" s="72"/>
      <c r="GW13" s="13">
        <v>1</v>
      </c>
      <c r="GX13" s="13">
        <v>2</v>
      </c>
      <c r="GY13" s="13">
        <v>3</v>
      </c>
      <c r="GZ13" s="13">
        <v>4</v>
      </c>
      <c r="HA13" s="75"/>
      <c r="HB13" s="76"/>
      <c r="HC13" s="77"/>
      <c r="HD13" s="77"/>
      <c r="HI13" s="72"/>
      <c r="HJ13" s="72"/>
      <c r="HK13" s="72"/>
      <c r="HL13" s="72"/>
      <c r="HM13" s="72"/>
      <c r="HN13" s="13">
        <v>1</v>
      </c>
      <c r="HO13" s="13">
        <v>2</v>
      </c>
      <c r="HP13" s="13">
        <v>3</v>
      </c>
      <c r="HQ13" s="13">
        <v>4</v>
      </c>
      <c r="HR13" s="75"/>
      <c r="HS13" s="76"/>
      <c r="HT13" s="77"/>
      <c r="HU13" s="77"/>
      <c r="HY13" s="72"/>
      <c r="HZ13" s="72"/>
      <c r="IA13" s="72"/>
      <c r="IB13" s="72"/>
      <c r="IC13" s="72"/>
      <c r="ID13" s="13">
        <v>1</v>
      </c>
      <c r="IE13" s="13">
        <v>2</v>
      </c>
      <c r="IF13" s="13">
        <v>3</v>
      </c>
      <c r="IG13" s="13">
        <v>4</v>
      </c>
      <c r="IH13" s="75"/>
      <c r="II13" s="76"/>
      <c r="IJ13" s="77"/>
      <c r="IK13" s="77"/>
      <c r="IP13" s="72"/>
      <c r="IQ13" s="72"/>
      <c r="IR13" s="72"/>
      <c r="IS13" s="72"/>
      <c r="IT13" s="72"/>
      <c r="IU13" s="13">
        <v>1</v>
      </c>
      <c r="IV13" s="13">
        <v>2</v>
      </c>
      <c r="IW13" s="13">
        <v>3</v>
      </c>
      <c r="IX13" s="13">
        <v>4</v>
      </c>
      <c r="IY13" s="75"/>
      <c r="IZ13" s="76"/>
      <c r="JA13" s="77"/>
      <c r="JB13" s="77"/>
      <c r="JF13" s="72"/>
      <c r="JG13" s="72"/>
      <c r="JH13" s="72"/>
      <c r="JI13" s="72"/>
      <c r="JJ13" s="72"/>
      <c r="JK13" s="13">
        <v>1</v>
      </c>
      <c r="JL13" s="13">
        <v>2</v>
      </c>
      <c r="JM13" s="13">
        <v>3</v>
      </c>
      <c r="JN13" s="13">
        <v>4</v>
      </c>
      <c r="JO13" s="75"/>
      <c r="JP13" s="76"/>
      <c r="JQ13" s="77"/>
      <c r="JR13" s="77"/>
      <c r="JW13" s="72"/>
      <c r="JX13" s="72"/>
      <c r="JY13" s="72"/>
      <c r="JZ13" s="72"/>
      <c r="KA13" s="72"/>
      <c r="KB13" s="13">
        <v>1</v>
      </c>
      <c r="KC13" s="13">
        <v>2</v>
      </c>
      <c r="KD13" s="13">
        <v>3</v>
      </c>
      <c r="KE13" s="13">
        <v>4</v>
      </c>
      <c r="KF13" s="75"/>
      <c r="KG13" s="76"/>
      <c r="KH13" s="77"/>
      <c r="KI13" s="77"/>
      <c r="KJ13" s="85"/>
      <c r="KM13" s="72"/>
      <c r="KN13" s="72"/>
      <c r="KO13" s="72"/>
      <c r="KP13" s="72"/>
      <c r="KQ13" s="72"/>
      <c r="KR13" s="13">
        <v>1</v>
      </c>
      <c r="KS13" s="13">
        <v>2</v>
      </c>
      <c r="KT13" s="13">
        <v>3</v>
      </c>
      <c r="KU13" s="13">
        <v>4</v>
      </c>
      <c r="KV13" s="75"/>
      <c r="KW13" s="76"/>
      <c r="KX13" s="77"/>
      <c r="KY13" s="77"/>
      <c r="KZ13" s="85"/>
      <c r="LD13" s="72"/>
      <c r="LE13" s="72"/>
      <c r="LF13" s="72"/>
      <c r="LG13" s="72"/>
      <c r="LH13" s="72"/>
      <c r="LI13" s="13">
        <v>1</v>
      </c>
      <c r="LJ13" s="13">
        <v>2</v>
      </c>
      <c r="LK13" s="13">
        <v>3</v>
      </c>
      <c r="LL13" s="13">
        <v>4</v>
      </c>
      <c r="LM13" s="75"/>
      <c r="LN13" s="76"/>
      <c r="LO13" s="77"/>
      <c r="LP13" s="77"/>
    </row>
    <row r="14" spans="1:330" s="9" customFormat="1" ht="19.05" customHeight="1" x14ac:dyDescent="0.3">
      <c r="B14" s="60" t="str">
        <f>[1]SUMMARY!$F$1&amp;" "&amp;[1]SUMMARY!$J$1</f>
        <v>Filipino 4</v>
      </c>
      <c r="C14" s="61"/>
      <c r="D14" s="61"/>
      <c r="E14" s="61"/>
      <c r="F14" s="62"/>
      <c r="G14" s="14">
        <f>'[1]1Q'!$C11</f>
        <v>84</v>
      </c>
      <c r="H14" s="14">
        <f>'[1]2Q'!$C11</f>
        <v>88</v>
      </c>
      <c r="I14" s="14">
        <f>'[1]3Q'!$C11</f>
        <v>95</v>
      </c>
      <c r="J14" s="14">
        <f>'[1]4Q'!$C11</f>
        <v>93</v>
      </c>
      <c r="K14" s="57">
        <f>[1]Q!$C11</f>
        <v>90</v>
      </c>
      <c r="L14" s="58">
        <f>'[1]4Q'!H11</f>
        <v>98</v>
      </c>
      <c r="M14" s="59" t="str">
        <f>IF(K14&gt;75,"PASSED","FAILED")</f>
        <v>PASSED</v>
      </c>
      <c r="N14" s="59"/>
      <c r="S14" s="60" t="str">
        <f>[1]SUMMARY!$F$1&amp;" "&amp;[1]SUMMARY!$J$1</f>
        <v>Filipino 4</v>
      </c>
      <c r="T14" s="61"/>
      <c r="U14" s="61"/>
      <c r="V14" s="61"/>
      <c r="W14" s="62"/>
      <c r="X14" s="14">
        <f>'[1]1Q'!$C12</f>
        <v>87</v>
      </c>
      <c r="Y14" s="14">
        <f>'[1]2Q'!$C12</f>
        <v>87</v>
      </c>
      <c r="Z14" s="14">
        <f>'[1]3Q'!$C12</f>
        <v>89</v>
      </c>
      <c r="AA14" s="14">
        <f>'[1]4Q'!$C12</f>
        <v>91</v>
      </c>
      <c r="AB14" s="57">
        <f>[1]Q!$C12</f>
        <v>89</v>
      </c>
      <c r="AC14" s="58">
        <f>'[1]4Q'!V11</f>
        <v>0</v>
      </c>
      <c r="AD14" s="59" t="str">
        <f>IF(AB14&gt;75,"PASSED","FAILED")</f>
        <v>PASSED</v>
      </c>
      <c r="AE14" s="59"/>
      <c r="AI14" s="60" t="str">
        <f>[1]SUMMARY!$F$1&amp;" "&amp;[1]SUMMARY!$J$1</f>
        <v>Filipino 4</v>
      </c>
      <c r="AJ14" s="61"/>
      <c r="AK14" s="61"/>
      <c r="AL14" s="61"/>
      <c r="AM14" s="62"/>
      <c r="AN14" s="14">
        <f>'[1]1Q'!$C13</f>
        <v>89</v>
      </c>
      <c r="AO14" s="14">
        <f>'[1]2Q'!$C13</f>
        <v>92</v>
      </c>
      <c r="AP14" s="14">
        <f>'[1]3Q'!$C13</f>
        <v>95</v>
      </c>
      <c r="AQ14" s="14">
        <f>'[1]4Q'!$C13</f>
        <v>94</v>
      </c>
      <c r="AR14" s="57">
        <f>[1]Q!$C13</f>
        <v>93</v>
      </c>
      <c r="AS14" s="58">
        <f>'[1]4Q'!AL11</f>
        <v>0</v>
      </c>
      <c r="AT14" s="59" t="str">
        <f>IF(AR14&gt;75,"PASSED","FAILED")</f>
        <v>PASSED</v>
      </c>
      <c r="AU14" s="59"/>
      <c r="AZ14" s="60" t="str">
        <f>[1]SUMMARY!$F$1&amp;" "&amp;[1]SUMMARY!$J$1</f>
        <v>Filipino 4</v>
      </c>
      <c r="BA14" s="61"/>
      <c r="BB14" s="61"/>
      <c r="BC14" s="61"/>
      <c r="BD14" s="62"/>
      <c r="BE14" s="14">
        <f>'[1]1Q'!$C14</f>
        <v>87</v>
      </c>
      <c r="BF14" s="14">
        <f>'[1]2Q'!$C14</f>
        <v>89</v>
      </c>
      <c r="BG14" s="14">
        <f>'[1]3Q'!$C14</f>
        <v>87</v>
      </c>
      <c r="BH14" s="14">
        <f>'[1]4Q'!$C14</f>
        <v>89</v>
      </c>
      <c r="BI14" s="57">
        <f>[1]Q!$C14</f>
        <v>88</v>
      </c>
      <c r="BJ14" s="58">
        <f>'[1]4Q'!BC11</f>
        <v>0</v>
      </c>
      <c r="BK14" s="59" t="str">
        <f>IF(BI14&gt;75,"PASSED","FAILED")</f>
        <v>PASSED</v>
      </c>
      <c r="BL14" s="59"/>
      <c r="BP14" s="60" t="str">
        <f>[1]SUMMARY!$F$1&amp;" "&amp;[1]SUMMARY!$J$1</f>
        <v>Filipino 4</v>
      </c>
      <c r="BQ14" s="61"/>
      <c r="BR14" s="61"/>
      <c r="BS14" s="61"/>
      <c r="BT14" s="62"/>
      <c r="BU14" s="14">
        <f>'[1]1Q'!$C15</f>
        <v>90</v>
      </c>
      <c r="BV14" s="14">
        <f>'[1]2Q'!$C15</f>
        <v>88</v>
      </c>
      <c r="BW14" s="14">
        <f>'[1]3Q'!$C15</f>
        <v>91</v>
      </c>
      <c r="BX14" s="14">
        <f>'[1]4Q'!$C15</f>
        <v>90</v>
      </c>
      <c r="BY14" s="57">
        <f>[1]Q!$C15</f>
        <v>90</v>
      </c>
      <c r="BZ14" s="58">
        <f>'[1]4Q'!BS11</f>
        <v>0</v>
      </c>
      <c r="CA14" s="59" t="str">
        <f>IF(BY14&gt;75,"PASSED","FAILED")</f>
        <v>PASSED</v>
      </c>
      <c r="CB14" s="59"/>
      <c r="CG14" s="60" t="str">
        <f>[1]SUMMARY!$F$1&amp;" "&amp;[1]SUMMARY!$J$1</f>
        <v>Filipino 4</v>
      </c>
      <c r="CH14" s="61"/>
      <c r="CI14" s="61"/>
      <c r="CJ14" s="61"/>
      <c r="CK14" s="62"/>
      <c r="CL14" s="14">
        <f>'[1]1Q'!$C16</f>
        <v>90</v>
      </c>
      <c r="CM14" s="14">
        <f>'[1]2Q'!$C16</f>
        <v>96</v>
      </c>
      <c r="CN14" s="14">
        <f>'[1]3Q'!$C16</f>
        <v>94</v>
      </c>
      <c r="CO14" s="14">
        <f>'[1]4Q'!$C16</f>
        <v>98</v>
      </c>
      <c r="CP14" s="57">
        <f>[1]Q!$C16</f>
        <v>95</v>
      </c>
      <c r="CQ14" s="58">
        <f>'[1]4Q'!CJ11</f>
        <v>0</v>
      </c>
      <c r="CR14" s="59" t="str">
        <f>IF(CP14&gt;75,"PASSED","FAILED")</f>
        <v>PASSED</v>
      </c>
      <c r="CS14" s="59"/>
      <c r="CW14" s="60" t="str">
        <f>[1]SUMMARY!$F$1&amp;" "&amp;[1]SUMMARY!$J$1</f>
        <v>Filipino 4</v>
      </c>
      <c r="CX14" s="61"/>
      <c r="CY14" s="61"/>
      <c r="CZ14" s="61"/>
      <c r="DA14" s="62"/>
      <c r="DB14" s="14">
        <f>'[1]1Q'!$C17</f>
        <v>90</v>
      </c>
      <c r="DC14" s="14">
        <f>'[1]2Q'!$C17</f>
        <v>92</v>
      </c>
      <c r="DD14" s="14">
        <f>'[1]3Q'!$C17</f>
        <v>96</v>
      </c>
      <c r="DE14" s="14">
        <f>'[1]4Q'!$C17</f>
        <v>95</v>
      </c>
      <c r="DF14" s="57">
        <f>[1]Q!$C17</f>
        <v>93</v>
      </c>
      <c r="DG14" s="58">
        <f>'[1]4Q'!CZ11</f>
        <v>0</v>
      </c>
      <c r="DH14" s="59" t="str">
        <f>IF(DF14&gt;75,"PASSED","FAILED")</f>
        <v>PASSED</v>
      </c>
      <c r="DI14" s="59"/>
      <c r="DN14" s="60" t="str">
        <f>[1]SUMMARY!$F$1&amp;" "&amp;[1]SUMMARY!$J$1</f>
        <v>Filipino 4</v>
      </c>
      <c r="DO14" s="61"/>
      <c r="DP14" s="61"/>
      <c r="DQ14" s="61"/>
      <c r="DR14" s="62"/>
      <c r="DS14" s="14">
        <f>'[1]1Q'!$C18</f>
        <v>87</v>
      </c>
      <c r="DT14" s="14">
        <f>'[1]2Q'!$C18</f>
        <v>88</v>
      </c>
      <c r="DU14" s="14">
        <f>'[1]3Q'!$C18</f>
        <v>91</v>
      </c>
      <c r="DV14" s="14">
        <f>'[1]4Q'!$C18</f>
        <v>90</v>
      </c>
      <c r="DW14" s="57">
        <f>[1]Q!$C18</f>
        <v>89</v>
      </c>
      <c r="DX14" s="58">
        <f>'[1]4Q'!DQ11</f>
        <v>0</v>
      </c>
      <c r="DY14" s="59" t="str">
        <f>IF(DW14&gt;75,"PASSED","FAILED")</f>
        <v>PASSED</v>
      </c>
      <c r="DZ14" s="59"/>
      <c r="ED14" s="60" t="str">
        <f>[1]SUMMARY!$F$1&amp;" "&amp;[1]SUMMARY!$J$1</f>
        <v>Filipino 4</v>
      </c>
      <c r="EE14" s="61"/>
      <c r="EF14" s="61"/>
      <c r="EG14" s="61"/>
      <c r="EH14" s="62"/>
      <c r="EI14" s="14">
        <f>'[1]1Q'!$C19</f>
        <v>80</v>
      </c>
      <c r="EJ14" s="14">
        <f>'[1]2Q'!$C19</f>
        <v>80</v>
      </c>
      <c r="EK14" s="14">
        <f>'[1]3Q'!$C19</f>
        <v>88</v>
      </c>
      <c r="EL14" s="14">
        <f>'[1]4Q'!$C19</f>
        <v>89</v>
      </c>
      <c r="EM14" s="57">
        <f>[1]Q!$C19</f>
        <v>84</v>
      </c>
      <c r="EN14" s="58">
        <f>'[1]4Q'!EG11</f>
        <v>0</v>
      </c>
      <c r="EO14" s="59" t="str">
        <f>IF(EM14&gt;75,"PASSED","FAILED")</f>
        <v>PASSED</v>
      </c>
      <c r="EP14" s="59"/>
      <c r="EU14" s="60" t="str">
        <f>[1]SUMMARY!$F$1&amp;" "&amp;[1]SUMMARY!$J$1</f>
        <v>Filipino 4</v>
      </c>
      <c r="EV14" s="61"/>
      <c r="EW14" s="61"/>
      <c r="EX14" s="61"/>
      <c r="EY14" s="62"/>
      <c r="EZ14" s="14">
        <f>'[1]1Q'!$C20</f>
        <v>92</v>
      </c>
      <c r="FA14" s="14">
        <f>'[1]2Q'!$C20</f>
        <v>94</v>
      </c>
      <c r="FB14" s="14">
        <f>'[1]3Q'!$C20</f>
        <v>92</v>
      </c>
      <c r="FC14" s="14">
        <f>'[1]4Q'!$C20</f>
        <v>97</v>
      </c>
      <c r="FD14" s="57">
        <f>[1]Q!$C20</f>
        <v>94</v>
      </c>
      <c r="FE14" s="58">
        <f>'[1]4Q'!EX11</f>
        <v>0</v>
      </c>
      <c r="FF14" s="59" t="str">
        <f>IF(FD14&gt;75,"PASSED","FAILED")</f>
        <v>PASSED</v>
      </c>
      <c r="FG14" s="59"/>
      <c r="FK14" s="60" t="str">
        <f>[1]SUMMARY!$F$1&amp;" "&amp;[1]SUMMARY!$J$1</f>
        <v>Filipino 4</v>
      </c>
      <c r="FL14" s="61"/>
      <c r="FM14" s="61"/>
      <c r="FN14" s="61"/>
      <c r="FO14" s="62"/>
      <c r="FP14" s="14">
        <f>'[1]1Q'!$C21</f>
        <v>90</v>
      </c>
      <c r="FQ14" s="14">
        <f>'[1]2Q'!$C21</f>
        <v>89</v>
      </c>
      <c r="FR14" s="14">
        <f>'[1]3Q'!$C21</f>
        <v>91</v>
      </c>
      <c r="FS14" s="14">
        <f>'[1]4Q'!$C21</f>
        <v>92</v>
      </c>
      <c r="FT14" s="57">
        <f>[1]Q!$C21</f>
        <v>91</v>
      </c>
      <c r="FU14" s="58">
        <f>'[1]4Q'!FN11</f>
        <v>0</v>
      </c>
      <c r="FV14" s="59" t="str">
        <f>IF(FT14&gt;75,"PASSED","FAILED")</f>
        <v>PASSED</v>
      </c>
      <c r="FW14" s="59"/>
      <c r="GB14" s="60" t="str">
        <f>[1]SUMMARY!$F$1&amp;" "&amp;[1]SUMMARY!$J$1</f>
        <v>Filipino 4</v>
      </c>
      <c r="GC14" s="61"/>
      <c r="GD14" s="61"/>
      <c r="GE14" s="61"/>
      <c r="GF14" s="62"/>
      <c r="GG14" s="14">
        <f>'[1]1Q'!$C22</f>
        <v>92</v>
      </c>
      <c r="GH14" s="14">
        <f>'[1]2Q'!$C22</f>
        <v>93</v>
      </c>
      <c r="GI14" s="14">
        <f>'[1]3Q'!$C22</f>
        <v>95</v>
      </c>
      <c r="GJ14" s="14">
        <f>'[1]4Q'!$C22</f>
        <v>98</v>
      </c>
      <c r="GK14" s="57">
        <f>[1]Q!$C22</f>
        <v>95</v>
      </c>
      <c r="GL14" s="58">
        <f>'[1]4Q'!GE11</f>
        <v>0</v>
      </c>
      <c r="GM14" s="59" t="str">
        <f>IF(GK14&gt;75,"PASSED","FAILED")</f>
        <v>PASSED</v>
      </c>
      <c r="GN14" s="59"/>
      <c r="GR14" s="60" t="str">
        <f>[1]SUMMARY!$F$1&amp;" "&amp;[1]SUMMARY!$J$1</f>
        <v>Filipino 4</v>
      </c>
      <c r="GS14" s="61"/>
      <c r="GT14" s="61"/>
      <c r="GU14" s="61"/>
      <c r="GV14" s="62"/>
      <c r="GW14" s="14">
        <f>'[1]1Q'!$C23</f>
        <v>91</v>
      </c>
      <c r="GX14" s="14">
        <f>'[1]2Q'!$C23</f>
        <v>91</v>
      </c>
      <c r="GY14" s="14">
        <f>'[1]3Q'!$C23</f>
        <v>94</v>
      </c>
      <c r="GZ14" s="14">
        <f>'[1]4Q'!$C23</f>
        <v>95</v>
      </c>
      <c r="HA14" s="57">
        <f>[1]Q!$C23</f>
        <v>93</v>
      </c>
      <c r="HB14" s="58">
        <f>'[1]4Q'!GU11</f>
        <v>0</v>
      </c>
      <c r="HC14" s="59" t="str">
        <f>IF(HA14&gt;75,"PASSED","FAILED")</f>
        <v>PASSED</v>
      </c>
      <c r="HD14" s="59"/>
      <c r="HI14" s="60" t="str">
        <f>[1]SUMMARY!$F$1&amp;" "&amp;[1]SUMMARY!$J$1</f>
        <v>Filipino 4</v>
      </c>
      <c r="HJ14" s="61"/>
      <c r="HK14" s="61"/>
      <c r="HL14" s="61"/>
      <c r="HM14" s="62"/>
      <c r="HN14" s="14">
        <f>'[1]1Q'!$C24</f>
        <v>92</v>
      </c>
      <c r="HO14" s="14">
        <f>'[1]2Q'!$C24</f>
        <v>93</v>
      </c>
      <c r="HP14" s="14">
        <f>'[1]3Q'!$C24</f>
        <v>95</v>
      </c>
      <c r="HQ14" s="14">
        <f>'[1]4Q'!$C24</f>
        <v>95</v>
      </c>
      <c r="HR14" s="57">
        <f>[1]Q!$C24</f>
        <v>94</v>
      </c>
      <c r="HS14" s="58">
        <f>'[1]4Q'!HL11</f>
        <v>0</v>
      </c>
      <c r="HT14" s="59" t="str">
        <f>IF(HR14&gt;75,"PASSED","FAILED")</f>
        <v>PASSED</v>
      </c>
      <c r="HU14" s="59"/>
      <c r="HY14" s="60" t="str">
        <f>[1]SUMMARY!$F$1&amp;" "&amp;[1]SUMMARY!$J$1</f>
        <v>Filipino 4</v>
      </c>
      <c r="HZ14" s="61"/>
      <c r="IA14" s="61"/>
      <c r="IB14" s="61"/>
      <c r="IC14" s="62"/>
      <c r="ID14" s="14">
        <f>'[1]1Q'!$C25</f>
        <v>88</v>
      </c>
      <c r="IE14" s="14">
        <f>'[1]2Q'!$C25</f>
        <v>92</v>
      </c>
      <c r="IF14" s="14">
        <f>'[1]3Q'!$C25</f>
        <v>94</v>
      </c>
      <c r="IG14" s="14">
        <f>'[1]4Q'!$C25</f>
        <v>97</v>
      </c>
      <c r="IH14" s="57">
        <f>[1]Q!$C25</f>
        <v>93</v>
      </c>
      <c r="II14" s="58">
        <f>'[1]4Q'!IB11</f>
        <v>0</v>
      </c>
      <c r="IJ14" s="59" t="str">
        <f>IF(IH14&gt;75,"PASSED","FAILED")</f>
        <v>PASSED</v>
      </c>
      <c r="IK14" s="59"/>
      <c r="IP14" s="60" t="str">
        <f>[1]SUMMARY!$F$1&amp;" "&amp;[1]SUMMARY!$J$1</f>
        <v>Filipino 4</v>
      </c>
      <c r="IQ14" s="61"/>
      <c r="IR14" s="61"/>
      <c r="IS14" s="61"/>
      <c r="IT14" s="62"/>
      <c r="IU14" s="14">
        <f>'[1]1Q'!$C26</f>
        <v>92</v>
      </c>
      <c r="IV14" s="14">
        <f>'[1]2Q'!$C26</f>
        <v>94</v>
      </c>
      <c r="IW14" s="14">
        <f>'[1]3Q'!$C26</f>
        <v>95</v>
      </c>
      <c r="IX14" s="14">
        <f>'[1]4Q'!$C26</f>
        <v>94</v>
      </c>
      <c r="IY14" s="57">
        <f>[1]Q!$C26</f>
        <v>94</v>
      </c>
      <c r="IZ14" s="58">
        <f>'[1]4Q'!IS11</f>
        <v>0</v>
      </c>
      <c r="JA14" s="59" t="str">
        <f>IF(IY14&gt;75,"PASSED","FAILED")</f>
        <v>PASSED</v>
      </c>
      <c r="JB14" s="59"/>
      <c r="JF14" s="60" t="str">
        <f>[1]SUMMARY!$F$1&amp;" "&amp;[1]SUMMARY!$J$1</f>
        <v>Filipino 4</v>
      </c>
      <c r="JG14" s="61"/>
      <c r="JH14" s="61"/>
      <c r="JI14" s="61"/>
      <c r="JJ14" s="62"/>
      <c r="JK14" s="14">
        <f>'[1]1Q'!$C27</f>
        <v>94</v>
      </c>
      <c r="JL14" s="14">
        <f>'[1]2Q'!$C27</f>
        <v>88</v>
      </c>
      <c r="JM14" s="14">
        <f>'[1]3Q'!$C27</f>
        <v>96</v>
      </c>
      <c r="JN14" s="14">
        <f>'[1]4Q'!$C27</f>
        <v>95</v>
      </c>
      <c r="JO14" s="57">
        <f>[1]Q!$C27</f>
        <v>93</v>
      </c>
      <c r="JP14" s="58">
        <f>'[1]4Q'!JI11</f>
        <v>0</v>
      </c>
      <c r="JQ14" s="59" t="str">
        <f>IF(JO14&gt;75,"PASSED","FAILED")</f>
        <v>PASSED</v>
      </c>
      <c r="JR14" s="59"/>
      <c r="JS14" s="12"/>
      <c r="JW14" s="60" t="str">
        <f>[1]SUMMARY!$F$1&amp;" "&amp;[1]SUMMARY!$J$1</f>
        <v>Filipino 4</v>
      </c>
      <c r="JX14" s="61"/>
      <c r="JY14" s="61"/>
      <c r="JZ14" s="61"/>
      <c r="KA14" s="62"/>
      <c r="KB14" s="14">
        <f>'[1]1Q'!$C28</f>
        <v>91</v>
      </c>
      <c r="KC14" s="14">
        <f>'[1]2Q'!$C28</f>
        <v>92</v>
      </c>
      <c r="KD14" s="14">
        <f>'[1]3Q'!$C28</f>
        <v>90</v>
      </c>
      <c r="KE14" s="14">
        <f>'[1]4Q'!$C28</f>
        <v>91</v>
      </c>
      <c r="KF14" s="57">
        <f>[1]Q!$C28</f>
        <v>91</v>
      </c>
      <c r="KG14" s="58">
        <f>'[1]4Q'!JZ11</f>
        <v>0</v>
      </c>
      <c r="KH14" s="59" t="str">
        <f>IF(KF14&gt;75,"PASSED","FAILED")</f>
        <v>PASSED</v>
      </c>
      <c r="KI14" s="59"/>
      <c r="KJ14" s="15"/>
      <c r="KM14" s="60" t="str">
        <f>[1]SUMMARY!$F$1&amp;" "&amp;[1]SUMMARY!$J$1</f>
        <v>Filipino 4</v>
      </c>
      <c r="KN14" s="61"/>
      <c r="KO14" s="61"/>
      <c r="KP14" s="61"/>
      <c r="KQ14" s="62"/>
      <c r="KR14" s="14">
        <f>'[1]1Q'!$C29</f>
        <v>87</v>
      </c>
      <c r="KS14" s="14">
        <f>'[1]2Q'!$C29</f>
        <v>88</v>
      </c>
      <c r="KT14" s="14">
        <f>'[1]3Q'!$C29</f>
        <v>92</v>
      </c>
      <c r="KU14" s="14">
        <f>'[1]4Q'!$C29</f>
        <v>90</v>
      </c>
      <c r="KV14" s="57">
        <f>[1]Q!$C29</f>
        <v>89</v>
      </c>
      <c r="KW14" s="58"/>
      <c r="KX14" s="59" t="str">
        <f>IF(KV14&gt;75,"PASSED","FAILED")</f>
        <v>PASSED</v>
      </c>
      <c r="KY14" s="59"/>
      <c r="KZ14" s="15"/>
      <c r="LD14" s="60" t="str">
        <f>[1]SUMMARY!$F$1&amp;" "&amp;[1]SUMMARY!$J$1</f>
        <v>Filipino 4</v>
      </c>
      <c r="LE14" s="61"/>
      <c r="LF14" s="61"/>
      <c r="LG14" s="61"/>
      <c r="LH14" s="62"/>
      <c r="LI14" s="14">
        <f>'[1]1Q'!$C30</f>
        <v>94</v>
      </c>
      <c r="LJ14" s="14">
        <f>'[1]2Q'!$C30</f>
        <v>93</v>
      </c>
      <c r="LK14" s="14">
        <f>'[1]3Q'!$C30</f>
        <v>94</v>
      </c>
      <c r="LL14" s="14">
        <f>'[1]4Q'!$C30</f>
        <v>96</v>
      </c>
      <c r="LM14" s="57">
        <f>[1]Q!$C30</f>
        <v>94</v>
      </c>
      <c r="LN14" s="58">
        <f>'[1]4Q'!LG11</f>
        <v>0</v>
      </c>
      <c r="LO14" s="59" t="str">
        <f>IF(LM14&gt;75,"PASSED","FAILED")</f>
        <v>PASSED</v>
      </c>
      <c r="LP14" s="59"/>
    </row>
    <row r="15" spans="1:330" s="9" customFormat="1" ht="19.05" customHeight="1" x14ac:dyDescent="0.3">
      <c r="B15" s="60" t="str">
        <f>[1]SUMMARY!$K$1&amp;" "&amp;[1]SUMMARY!$O$1</f>
        <v>English  4</v>
      </c>
      <c r="C15" s="61"/>
      <c r="D15" s="61"/>
      <c r="E15" s="61"/>
      <c r="F15" s="62"/>
      <c r="G15" s="14">
        <f>'[1]1Q'!$D11</f>
        <v>90</v>
      </c>
      <c r="H15" s="14">
        <f>'[1]2Q'!$D11</f>
        <v>89</v>
      </c>
      <c r="I15" s="14">
        <f>'[1]3Q'!$D11</f>
        <v>95</v>
      </c>
      <c r="J15" s="14">
        <f>'[1]4Q'!$D11</f>
        <v>96</v>
      </c>
      <c r="K15" s="57">
        <f>[1]Q!$D11</f>
        <v>93</v>
      </c>
      <c r="L15" s="58">
        <f>'[1]4Q'!I11</f>
        <v>95</v>
      </c>
      <c r="M15" s="59" t="str">
        <f t="shared" ref="M15:M23" si="0">IF(K15&gt;75,"PASSED","FAILED")</f>
        <v>PASSED</v>
      </c>
      <c r="N15" s="59"/>
      <c r="S15" s="60" t="str">
        <f>[1]SUMMARY!$K$1&amp;" "&amp;[1]SUMMARY!$O$1</f>
        <v>English  4</v>
      </c>
      <c r="T15" s="61"/>
      <c r="U15" s="61"/>
      <c r="V15" s="61"/>
      <c r="W15" s="62"/>
      <c r="X15" s="14">
        <f>'[1]1Q'!$D12</f>
        <v>90</v>
      </c>
      <c r="Y15" s="14">
        <f>'[1]2Q'!$D12</f>
        <v>85</v>
      </c>
      <c r="Z15" s="14">
        <f>'[1]3Q'!$D12</f>
        <v>94</v>
      </c>
      <c r="AA15" s="14">
        <f>'[1]4Q'!$D12</f>
        <v>90</v>
      </c>
      <c r="AB15" s="57">
        <f>[1]Q!$D12</f>
        <v>90</v>
      </c>
      <c r="AC15" s="58">
        <f>'[1]4Q'!W11</f>
        <v>0</v>
      </c>
      <c r="AD15" s="59" t="str">
        <f t="shared" ref="AD15:AD23" si="1">IF(AB15&gt;75,"PASSED","FAILED")</f>
        <v>PASSED</v>
      </c>
      <c r="AE15" s="59"/>
      <c r="AI15" s="60" t="str">
        <f>[1]SUMMARY!$K$1&amp;" "&amp;[1]SUMMARY!$O$1</f>
        <v>English  4</v>
      </c>
      <c r="AJ15" s="61"/>
      <c r="AK15" s="61"/>
      <c r="AL15" s="61"/>
      <c r="AM15" s="62"/>
      <c r="AN15" s="14">
        <f>'[1]1Q'!$D13</f>
        <v>92</v>
      </c>
      <c r="AO15" s="14">
        <f>'[1]2Q'!$D13</f>
        <v>92</v>
      </c>
      <c r="AP15" s="14">
        <f>'[1]3Q'!$D13</f>
        <v>96</v>
      </c>
      <c r="AQ15" s="14">
        <f>'[1]4Q'!$D13</f>
        <v>99</v>
      </c>
      <c r="AR15" s="57">
        <f>[1]Q!$D13</f>
        <v>95</v>
      </c>
      <c r="AS15" s="58">
        <f>'[1]4Q'!AM11</f>
        <v>0</v>
      </c>
      <c r="AT15" s="59" t="str">
        <f t="shared" ref="AT15:AT23" si="2">IF(AR15&gt;75,"PASSED","FAILED")</f>
        <v>PASSED</v>
      </c>
      <c r="AU15" s="59"/>
      <c r="AZ15" s="60" t="str">
        <f>[1]SUMMARY!$K$1&amp;" "&amp;[1]SUMMARY!$O$1</f>
        <v>English  4</v>
      </c>
      <c r="BA15" s="61"/>
      <c r="BB15" s="61"/>
      <c r="BC15" s="61"/>
      <c r="BD15" s="62"/>
      <c r="BE15" s="14">
        <f>'[1]1Q'!$D14</f>
        <v>90</v>
      </c>
      <c r="BF15" s="14">
        <f>'[1]2Q'!$D14</f>
        <v>87</v>
      </c>
      <c r="BG15" s="14">
        <f>'[1]3Q'!$D14</f>
        <v>95</v>
      </c>
      <c r="BH15" s="14">
        <f>'[1]4Q'!$D14</f>
        <v>95</v>
      </c>
      <c r="BI15" s="57">
        <f>[1]Q!$D14</f>
        <v>92</v>
      </c>
      <c r="BJ15" s="58">
        <f>'[1]4Q'!BD11</f>
        <v>0</v>
      </c>
      <c r="BK15" s="59" t="str">
        <f t="shared" ref="BK15:BK23" si="3">IF(BI15&gt;75,"PASSED","FAILED")</f>
        <v>PASSED</v>
      </c>
      <c r="BL15" s="59"/>
      <c r="BP15" s="60" t="str">
        <f>[1]SUMMARY!$K$1&amp;" "&amp;[1]SUMMARY!$O$1</f>
        <v>English  4</v>
      </c>
      <c r="BQ15" s="61"/>
      <c r="BR15" s="61"/>
      <c r="BS15" s="61"/>
      <c r="BT15" s="62"/>
      <c r="BU15" s="14">
        <f>'[1]1Q'!$D15</f>
        <v>90</v>
      </c>
      <c r="BV15" s="14">
        <f>'[1]2Q'!$D15</f>
        <v>88</v>
      </c>
      <c r="BW15" s="14">
        <f>'[1]3Q'!$D15</f>
        <v>93</v>
      </c>
      <c r="BX15" s="14">
        <f>'[1]4Q'!$D15</f>
        <v>96</v>
      </c>
      <c r="BY15" s="57">
        <f>[1]Q!$D15</f>
        <v>92</v>
      </c>
      <c r="BZ15" s="58">
        <f>'[1]4Q'!BT11</f>
        <v>0</v>
      </c>
      <c r="CA15" s="59" t="str">
        <f t="shared" ref="CA15:CA23" si="4">IF(BY15&gt;75,"PASSED","FAILED")</f>
        <v>PASSED</v>
      </c>
      <c r="CB15" s="59"/>
      <c r="CG15" s="60" t="str">
        <f>[1]SUMMARY!$K$1&amp;" "&amp;[1]SUMMARY!$O$1</f>
        <v>English  4</v>
      </c>
      <c r="CH15" s="61"/>
      <c r="CI15" s="61"/>
      <c r="CJ15" s="61"/>
      <c r="CK15" s="62"/>
      <c r="CL15" s="14">
        <f>'[1]1Q'!$D16</f>
        <v>91</v>
      </c>
      <c r="CM15" s="14">
        <f>'[1]2Q'!$D16</f>
        <v>92</v>
      </c>
      <c r="CN15" s="14">
        <f>'[1]3Q'!$D16</f>
        <v>96</v>
      </c>
      <c r="CO15" s="14">
        <f>'[1]4Q'!$D16</f>
        <v>98</v>
      </c>
      <c r="CP15" s="57">
        <f>[1]Q!$D16</f>
        <v>94</v>
      </c>
      <c r="CQ15" s="58">
        <f>'[1]4Q'!CK11</f>
        <v>0</v>
      </c>
      <c r="CR15" s="59" t="str">
        <f t="shared" ref="CR15:CR23" si="5">IF(CP15&gt;75,"PASSED","FAILED")</f>
        <v>PASSED</v>
      </c>
      <c r="CS15" s="59"/>
      <c r="CW15" s="60" t="str">
        <f>[1]SUMMARY!$K$1&amp;" "&amp;[1]SUMMARY!$O$1</f>
        <v>English  4</v>
      </c>
      <c r="CX15" s="61"/>
      <c r="CY15" s="61"/>
      <c r="CZ15" s="61"/>
      <c r="DA15" s="62"/>
      <c r="DB15" s="14">
        <f>'[1]1Q'!$D17</f>
        <v>92</v>
      </c>
      <c r="DC15" s="14">
        <f>'[1]2Q'!$D17</f>
        <v>92</v>
      </c>
      <c r="DD15" s="14">
        <f>'[1]3Q'!$D17</f>
        <v>97</v>
      </c>
      <c r="DE15" s="14">
        <f>'[1]4Q'!$D17</f>
        <v>98</v>
      </c>
      <c r="DF15" s="57">
        <f>[1]Q!$D17</f>
        <v>95</v>
      </c>
      <c r="DG15" s="58">
        <f>'[1]4Q'!DA11</f>
        <v>0</v>
      </c>
      <c r="DH15" s="59" t="str">
        <f t="shared" ref="DH15:DH23" si="6">IF(DF15&gt;75,"PASSED","FAILED")</f>
        <v>PASSED</v>
      </c>
      <c r="DI15" s="59"/>
      <c r="DN15" s="60" t="str">
        <f>[1]SUMMARY!$K$1&amp;" "&amp;[1]SUMMARY!$O$1</f>
        <v>English  4</v>
      </c>
      <c r="DO15" s="61"/>
      <c r="DP15" s="61"/>
      <c r="DQ15" s="61"/>
      <c r="DR15" s="62"/>
      <c r="DS15" s="14">
        <f>'[1]1Q'!$D18</f>
        <v>90</v>
      </c>
      <c r="DT15" s="14">
        <f>'[1]2Q'!$D18</f>
        <v>87</v>
      </c>
      <c r="DU15" s="14">
        <f>'[1]3Q'!$D18</f>
        <v>91</v>
      </c>
      <c r="DV15" s="14">
        <f>'[1]4Q'!$D18</f>
        <v>95</v>
      </c>
      <c r="DW15" s="57">
        <f>[1]Q!$D18</f>
        <v>91</v>
      </c>
      <c r="DX15" s="58">
        <f>'[1]4Q'!DR11</f>
        <v>0</v>
      </c>
      <c r="DY15" s="59" t="str">
        <f t="shared" ref="DY15:DY23" si="7">IF(DW15&gt;75,"PASSED","FAILED")</f>
        <v>PASSED</v>
      </c>
      <c r="DZ15" s="59"/>
      <c r="ED15" s="60" t="str">
        <f>[1]SUMMARY!$K$1&amp;" "&amp;[1]SUMMARY!$O$1</f>
        <v>English  4</v>
      </c>
      <c r="EE15" s="61"/>
      <c r="EF15" s="61"/>
      <c r="EG15" s="61"/>
      <c r="EH15" s="62"/>
      <c r="EI15" s="14">
        <f>'[1]1Q'!$D19</f>
        <v>90</v>
      </c>
      <c r="EJ15" s="14">
        <f>'[1]2Q'!$D19</f>
        <v>85</v>
      </c>
      <c r="EK15" s="14">
        <f>'[1]3Q'!$D19</f>
        <v>91</v>
      </c>
      <c r="EL15" s="14">
        <f>'[1]4Q'!$D19</f>
        <v>90</v>
      </c>
      <c r="EM15" s="57">
        <f>[1]Q!$D19</f>
        <v>89</v>
      </c>
      <c r="EN15" s="58">
        <f>'[1]4Q'!EH11</f>
        <v>0</v>
      </c>
      <c r="EO15" s="59" t="str">
        <f t="shared" ref="EO15:EO23" si="8">IF(EM15&gt;75,"PASSED","FAILED")</f>
        <v>PASSED</v>
      </c>
      <c r="EP15" s="59"/>
      <c r="EU15" s="60" t="str">
        <f>[1]SUMMARY!$K$1&amp;" "&amp;[1]SUMMARY!$O$1</f>
        <v>English  4</v>
      </c>
      <c r="EV15" s="61"/>
      <c r="EW15" s="61"/>
      <c r="EX15" s="61"/>
      <c r="EY15" s="62"/>
      <c r="EZ15" s="14">
        <f>'[1]1Q'!$D20</f>
        <v>93</v>
      </c>
      <c r="FA15" s="14">
        <f>'[1]2Q'!$D20</f>
        <v>93</v>
      </c>
      <c r="FB15" s="14">
        <f>'[1]3Q'!$D20</f>
        <v>95</v>
      </c>
      <c r="FC15" s="14">
        <f>'[1]4Q'!$D20</f>
        <v>97</v>
      </c>
      <c r="FD15" s="57">
        <f>[1]Q!$D20</f>
        <v>95</v>
      </c>
      <c r="FE15" s="58">
        <f>'[1]4Q'!EY11</f>
        <v>0</v>
      </c>
      <c r="FF15" s="59" t="str">
        <f t="shared" ref="FF15:FF23" si="9">IF(FD15&gt;75,"PASSED","FAILED")</f>
        <v>PASSED</v>
      </c>
      <c r="FG15" s="59"/>
      <c r="FK15" s="60" t="str">
        <f>[1]SUMMARY!$K$1&amp;" "&amp;[1]SUMMARY!$O$1</f>
        <v>English  4</v>
      </c>
      <c r="FL15" s="61"/>
      <c r="FM15" s="61"/>
      <c r="FN15" s="61"/>
      <c r="FO15" s="62"/>
      <c r="FP15" s="14">
        <f>'[1]1Q'!$D21</f>
        <v>90</v>
      </c>
      <c r="FQ15" s="14">
        <f>'[1]2Q'!$D21</f>
        <v>89</v>
      </c>
      <c r="FR15" s="14">
        <f>'[1]3Q'!$D21</f>
        <v>93</v>
      </c>
      <c r="FS15" s="14">
        <f>'[1]4Q'!$D21</f>
        <v>92</v>
      </c>
      <c r="FT15" s="57">
        <f>[1]Q!$D21</f>
        <v>91</v>
      </c>
      <c r="FU15" s="58">
        <f>'[1]4Q'!FO11</f>
        <v>0</v>
      </c>
      <c r="FV15" s="59" t="str">
        <f t="shared" ref="FV15:FV23" si="10">IF(FT15&gt;75,"PASSED","FAILED")</f>
        <v>PASSED</v>
      </c>
      <c r="FW15" s="59"/>
      <c r="GB15" s="60" t="str">
        <f>[1]SUMMARY!$K$1&amp;" "&amp;[1]SUMMARY!$O$1</f>
        <v>English  4</v>
      </c>
      <c r="GC15" s="61"/>
      <c r="GD15" s="61"/>
      <c r="GE15" s="61"/>
      <c r="GF15" s="62"/>
      <c r="GG15" s="14">
        <f>'[1]1Q'!$D22</f>
        <v>90</v>
      </c>
      <c r="GH15" s="14">
        <f>'[1]2Q'!$D22</f>
        <v>91</v>
      </c>
      <c r="GI15" s="14">
        <f>'[1]3Q'!$D22</f>
        <v>95</v>
      </c>
      <c r="GJ15" s="14">
        <f>'[1]4Q'!$D22</f>
        <v>98</v>
      </c>
      <c r="GK15" s="57">
        <f>[1]Q!$D22</f>
        <v>94</v>
      </c>
      <c r="GL15" s="58">
        <f>'[1]4Q'!GF11</f>
        <v>0</v>
      </c>
      <c r="GM15" s="59" t="str">
        <f t="shared" ref="GM15:GM23" si="11">IF(GK15&gt;75,"PASSED","FAILED")</f>
        <v>PASSED</v>
      </c>
      <c r="GN15" s="59"/>
      <c r="GR15" s="60" t="str">
        <f>[1]SUMMARY!$K$1&amp;" "&amp;[1]SUMMARY!$O$1</f>
        <v>English  4</v>
      </c>
      <c r="GS15" s="61"/>
      <c r="GT15" s="61"/>
      <c r="GU15" s="61"/>
      <c r="GV15" s="62"/>
      <c r="GW15" s="14">
        <f>'[1]1Q'!$D23</f>
        <v>91</v>
      </c>
      <c r="GX15" s="14">
        <f>'[1]2Q'!$D23</f>
        <v>88</v>
      </c>
      <c r="GY15" s="14">
        <f>'[1]3Q'!$D23</f>
        <v>92</v>
      </c>
      <c r="GZ15" s="14">
        <f>'[1]4Q'!$D23</f>
        <v>98</v>
      </c>
      <c r="HA15" s="57">
        <f>[1]Q!$D23</f>
        <v>92</v>
      </c>
      <c r="HB15" s="58">
        <f>'[1]4Q'!GV11</f>
        <v>0</v>
      </c>
      <c r="HC15" s="59" t="str">
        <f t="shared" ref="HC15:HC23" si="12">IF(HA15&gt;75,"PASSED","FAILED")</f>
        <v>PASSED</v>
      </c>
      <c r="HD15" s="59"/>
      <c r="HI15" s="60" t="str">
        <f>[1]SUMMARY!$K$1&amp;" "&amp;[1]SUMMARY!$O$1</f>
        <v>English  4</v>
      </c>
      <c r="HJ15" s="61"/>
      <c r="HK15" s="61"/>
      <c r="HL15" s="61"/>
      <c r="HM15" s="62"/>
      <c r="HN15" s="14">
        <f>'[1]1Q'!$D24</f>
        <v>91</v>
      </c>
      <c r="HO15" s="14">
        <f>'[1]2Q'!$D24</f>
        <v>92</v>
      </c>
      <c r="HP15" s="14">
        <f>'[1]3Q'!$D24</f>
        <v>94</v>
      </c>
      <c r="HQ15" s="14">
        <f>'[1]4Q'!$D24</f>
        <v>98</v>
      </c>
      <c r="HR15" s="57">
        <f>[1]Q!$D24</f>
        <v>94</v>
      </c>
      <c r="HS15" s="58">
        <f>'[1]4Q'!HM11</f>
        <v>0</v>
      </c>
      <c r="HT15" s="59" t="str">
        <f t="shared" ref="HT15:HT23" si="13">IF(HR15&gt;75,"PASSED","FAILED")</f>
        <v>PASSED</v>
      </c>
      <c r="HU15" s="59"/>
      <c r="HY15" s="60" t="str">
        <f>[1]SUMMARY!$K$1&amp;" "&amp;[1]SUMMARY!$O$1</f>
        <v>English  4</v>
      </c>
      <c r="HZ15" s="61"/>
      <c r="IA15" s="61"/>
      <c r="IB15" s="61"/>
      <c r="IC15" s="62"/>
      <c r="ID15" s="14">
        <f>'[1]1Q'!$D25</f>
        <v>90</v>
      </c>
      <c r="IE15" s="14">
        <f>'[1]2Q'!$D25</f>
        <v>90</v>
      </c>
      <c r="IF15" s="14">
        <f>'[1]3Q'!$D25</f>
        <v>95</v>
      </c>
      <c r="IG15" s="14">
        <f>'[1]4Q'!$D25</f>
        <v>97</v>
      </c>
      <c r="IH15" s="57">
        <f>[1]Q!$D25</f>
        <v>93</v>
      </c>
      <c r="II15" s="58">
        <f>'[1]4Q'!IC11</f>
        <v>0</v>
      </c>
      <c r="IJ15" s="59" t="str">
        <f t="shared" ref="IJ15:IJ23" si="14">IF(IH15&gt;75,"PASSED","FAILED")</f>
        <v>PASSED</v>
      </c>
      <c r="IK15" s="59"/>
      <c r="IP15" s="60" t="str">
        <f>[1]SUMMARY!$K$1&amp;" "&amp;[1]SUMMARY!$O$1</f>
        <v>English  4</v>
      </c>
      <c r="IQ15" s="61"/>
      <c r="IR15" s="61"/>
      <c r="IS15" s="61"/>
      <c r="IT15" s="62"/>
      <c r="IU15" s="14">
        <f>'[1]1Q'!$D26</f>
        <v>90</v>
      </c>
      <c r="IV15" s="14">
        <f>'[1]2Q'!$D26</f>
        <v>91</v>
      </c>
      <c r="IW15" s="14">
        <f>'[1]3Q'!$D26</f>
        <v>93</v>
      </c>
      <c r="IX15" s="14">
        <f>'[1]4Q'!$D26</f>
        <v>97</v>
      </c>
      <c r="IY15" s="57">
        <f>[1]Q!$D26</f>
        <v>93</v>
      </c>
      <c r="IZ15" s="58">
        <f>'[1]4Q'!IT11</f>
        <v>0</v>
      </c>
      <c r="JA15" s="59" t="str">
        <f t="shared" ref="JA15:JA23" si="15">IF(IY15&gt;75,"PASSED","FAILED")</f>
        <v>PASSED</v>
      </c>
      <c r="JB15" s="59"/>
      <c r="JF15" s="60" t="str">
        <f>[1]SUMMARY!$K$1&amp;" "&amp;[1]SUMMARY!$O$1</f>
        <v>English  4</v>
      </c>
      <c r="JG15" s="61"/>
      <c r="JH15" s="61"/>
      <c r="JI15" s="61"/>
      <c r="JJ15" s="62"/>
      <c r="JK15" s="14">
        <f>'[1]1Q'!$D27</f>
        <v>92</v>
      </c>
      <c r="JL15" s="14">
        <f>'[1]2Q'!$D27</f>
        <v>92</v>
      </c>
      <c r="JM15" s="14">
        <f>'[1]3Q'!$D27</f>
        <v>95</v>
      </c>
      <c r="JN15" s="14">
        <f>'[1]4Q'!$D27</f>
        <v>99</v>
      </c>
      <c r="JO15" s="57">
        <f>[1]Q!$D27</f>
        <v>95</v>
      </c>
      <c r="JP15" s="58">
        <f>'[1]4Q'!JJ11</f>
        <v>0</v>
      </c>
      <c r="JQ15" s="59" t="str">
        <f t="shared" ref="JQ15:JQ23" si="16">IF(JO15&gt;75,"PASSED","FAILED")</f>
        <v>PASSED</v>
      </c>
      <c r="JR15" s="59"/>
      <c r="JS15" s="12"/>
      <c r="JW15" s="60" t="str">
        <f>[1]SUMMARY!$K$1&amp;" "&amp;[1]SUMMARY!$O$1</f>
        <v>English  4</v>
      </c>
      <c r="JX15" s="61"/>
      <c r="JY15" s="61"/>
      <c r="JZ15" s="61"/>
      <c r="KA15" s="62"/>
      <c r="KB15" s="14">
        <f>'[1]1Q'!$D28</f>
        <v>90</v>
      </c>
      <c r="KC15" s="14">
        <f>'[1]2Q'!$D28</f>
        <v>90</v>
      </c>
      <c r="KD15" s="14">
        <f>'[1]3Q'!$D28</f>
        <v>93</v>
      </c>
      <c r="KE15" s="14">
        <f>'[1]4Q'!$D28</f>
        <v>94</v>
      </c>
      <c r="KF15" s="57">
        <f>[1]Q!$D28</f>
        <v>92</v>
      </c>
      <c r="KG15" s="58">
        <f>'[1]4Q'!KA11</f>
        <v>0</v>
      </c>
      <c r="KH15" s="59" t="str">
        <f t="shared" ref="KH15:KH23" si="17">IF(KF15&gt;75,"PASSED","FAILED")</f>
        <v>PASSED</v>
      </c>
      <c r="KI15" s="59"/>
      <c r="KJ15" s="15"/>
      <c r="KM15" s="60" t="str">
        <f>[1]SUMMARY!$K$1&amp;" "&amp;[1]SUMMARY!$O$1</f>
        <v>English  4</v>
      </c>
      <c r="KN15" s="61"/>
      <c r="KO15" s="61"/>
      <c r="KP15" s="61"/>
      <c r="KQ15" s="62"/>
      <c r="KR15" s="14">
        <f>'[1]1Q'!$D29</f>
        <v>90</v>
      </c>
      <c r="KS15" s="14">
        <f>'[1]2Q'!$D29</f>
        <v>88</v>
      </c>
      <c r="KT15" s="14">
        <f>'[1]3Q'!$D29</f>
        <v>92</v>
      </c>
      <c r="KU15" s="14">
        <f>'[1]4Q'!$D29</f>
        <v>96</v>
      </c>
      <c r="KV15" s="57">
        <f>[1]Q!$D29</f>
        <v>92</v>
      </c>
      <c r="KW15" s="58"/>
      <c r="KX15" s="59" t="str">
        <f t="shared" ref="KX15:KX23" si="18">IF(KV15&gt;75,"PASSED","FAILED")</f>
        <v>PASSED</v>
      </c>
      <c r="KY15" s="59"/>
      <c r="KZ15" s="15"/>
      <c r="LD15" s="60" t="str">
        <f>[1]SUMMARY!$K$1&amp;" "&amp;[1]SUMMARY!$O$1</f>
        <v>English  4</v>
      </c>
      <c r="LE15" s="61"/>
      <c r="LF15" s="61"/>
      <c r="LG15" s="61"/>
      <c r="LH15" s="62"/>
      <c r="LI15" s="14">
        <f>'[1]1Q'!$D30</f>
        <v>90</v>
      </c>
      <c r="LJ15" s="14">
        <f>'[1]2Q'!$D30</f>
        <v>92</v>
      </c>
      <c r="LK15" s="14">
        <f>'[1]3Q'!$D30</f>
        <v>97</v>
      </c>
      <c r="LL15" s="14">
        <f>'[1]4Q'!$D30</f>
        <v>98</v>
      </c>
      <c r="LM15" s="57">
        <f>[1]Q!$D30</f>
        <v>94</v>
      </c>
      <c r="LN15" s="58">
        <f>'[1]4Q'!LH11</f>
        <v>0</v>
      </c>
      <c r="LO15" s="59" t="str">
        <f t="shared" ref="LO15:LO23" si="19">IF(LM15&gt;75,"PASSED","FAILED")</f>
        <v>PASSED</v>
      </c>
      <c r="LP15" s="59"/>
    </row>
    <row r="16" spans="1:330" s="9" customFormat="1" ht="19.05" customHeight="1" x14ac:dyDescent="0.3">
      <c r="B16" s="60" t="str">
        <f>[1]SUMMARY!$P$1&amp;" "&amp;[1]SUMMARY!$T$1</f>
        <v>Mathematics  6</v>
      </c>
      <c r="C16" s="61"/>
      <c r="D16" s="61"/>
      <c r="E16" s="61"/>
      <c r="F16" s="62"/>
      <c r="G16" s="14">
        <f>'[1]1Q'!$E11</f>
        <v>91</v>
      </c>
      <c r="H16" s="14">
        <f>'[1]2Q'!$E11</f>
        <v>92</v>
      </c>
      <c r="I16" s="14">
        <f>'[1]3Q'!$E11</f>
        <v>92</v>
      </c>
      <c r="J16" s="14">
        <f>'[1]4Q'!$E11</f>
        <v>96</v>
      </c>
      <c r="K16" s="57">
        <f>[1]Q!$E11</f>
        <v>93</v>
      </c>
      <c r="L16" s="58">
        <f>'[1]4Q'!J11</f>
        <v>94</v>
      </c>
      <c r="M16" s="59" t="str">
        <f t="shared" si="0"/>
        <v>PASSED</v>
      </c>
      <c r="N16" s="59"/>
      <c r="S16" s="60" t="str">
        <f>[1]SUMMARY!$P$1&amp;" "&amp;[1]SUMMARY!$T$1</f>
        <v>Mathematics  6</v>
      </c>
      <c r="T16" s="61"/>
      <c r="U16" s="61"/>
      <c r="V16" s="61"/>
      <c r="W16" s="62"/>
      <c r="X16" s="14">
        <f>'[1]1Q'!$E12</f>
        <v>86</v>
      </c>
      <c r="Y16" s="14">
        <f>'[1]2Q'!$E12</f>
        <v>87</v>
      </c>
      <c r="Z16" s="14">
        <f>'[1]3Q'!$E12</f>
        <v>86</v>
      </c>
      <c r="AA16" s="14">
        <f>'[1]4Q'!$E12</f>
        <v>96</v>
      </c>
      <c r="AB16" s="57">
        <f>[1]Q!$E12</f>
        <v>89</v>
      </c>
      <c r="AC16" s="58">
        <f>'[1]4Q'!X11</f>
        <v>0</v>
      </c>
      <c r="AD16" s="59" t="str">
        <f t="shared" si="1"/>
        <v>PASSED</v>
      </c>
      <c r="AE16" s="59"/>
      <c r="AI16" s="60" t="str">
        <f>[1]SUMMARY!$P$1&amp;" "&amp;[1]SUMMARY!$T$1</f>
        <v>Mathematics  6</v>
      </c>
      <c r="AJ16" s="61"/>
      <c r="AK16" s="61"/>
      <c r="AL16" s="61"/>
      <c r="AM16" s="62"/>
      <c r="AN16" s="14">
        <f>'[1]1Q'!$E13</f>
        <v>96</v>
      </c>
      <c r="AO16" s="14">
        <f>'[1]2Q'!$E13</f>
        <v>95</v>
      </c>
      <c r="AP16" s="14">
        <f>'[1]3Q'!$E13</f>
        <v>96</v>
      </c>
      <c r="AQ16" s="14">
        <f>'[1]4Q'!$E13</f>
        <v>98</v>
      </c>
      <c r="AR16" s="57">
        <f>[1]Q!$E13</f>
        <v>96</v>
      </c>
      <c r="AS16" s="58">
        <f>'[1]4Q'!AN11</f>
        <v>0</v>
      </c>
      <c r="AT16" s="59" t="str">
        <f t="shared" si="2"/>
        <v>PASSED</v>
      </c>
      <c r="AU16" s="59"/>
      <c r="AZ16" s="60" t="str">
        <f>[1]SUMMARY!$P$1&amp;" "&amp;[1]SUMMARY!$T$1</f>
        <v>Mathematics  6</v>
      </c>
      <c r="BA16" s="61"/>
      <c r="BB16" s="61"/>
      <c r="BC16" s="61"/>
      <c r="BD16" s="62"/>
      <c r="BE16" s="14">
        <f>'[1]1Q'!$E14</f>
        <v>93</v>
      </c>
      <c r="BF16" s="14">
        <f>'[1]2Q'!$E14</f>
        <v>92</v>
      </c>
      <c r="BG16" s="14">
        <f>'[1]3Q'!$E14</f>
        <v>92</v>
      </c>
      <c r="BH16" s="14">
        <f>'[1]4Q'!$E14</f>
        <v>96</v>
      </c>
      <c r="BI16" s="57">
        <f>[1]Q!$E14</f>
        <v>93</v>
      </c>
      <c r="BJ16" s="58">
        <f>'[1]4Q'!BE11</f>
        <v>0</v>
      </c>
      <c r="BK16" s="59" t="str">
        <f t="shared" si="3"/>
        <v>PASSED</v>
      </c>
      <c r="BL16" s="59"/>
      <c r="BP16" s="60" t="str">
        <f>[1]SUMMARY!$P$1&amp;" "&amp;[1]SUMMARY!$T$1</f>
        <v>Mathematics  6</v>
      </c>
      <c r="BQ16" s="61"/>
      <c r="BR16" s="61"/>
      <c r="BS16" s="61"/>
      <c r="BT16" s="62"/>
      <c r="BU16" s="14">
        <f>'[1]1Q'!$E15</f>
        <v>95</v>
      </c>
      <c r="BV16" s="14">
        <f>'[1]2Q'!$E15</f>
        <v>93</v>
      </c>
      <c r="BW16" s="14">
        <f>'[1]3Q'!$E15</f>
        <v>95</v>
      </c>
      <c r="BX16" s="14">
        <f>'[1]4Q'!$E15</f>
        <v>97</v>
      </c>
      <c r="BY16" s="57">
        <f>[1]Q!$E15</f>
        <v>95</v>
      </c>
      <c r="BZ16" s="58">
        <f>'[1]4Q'!BU11</f>
        <v>0</v>
      </c>
      <c r="CA16" s="59" t="str">
        <f t="shared" si="4"/>
        <v>PASSED</v>
      </c>
      <c r="CB16" s="59"/>
      <c r="CG16" s="60" t="str">
        <f>[1]SUMMARY!$P$1&amp;" "&amp;[1]SUMMARY!$T$1</f>
        <v>Mathematics  6</v>
      </c>
      <c r="CH16" s="61"/>
      <c r="CI16" s="61"/>
      <c r="CJ16" s="61"/>
      <c r="CK16" s="62"/>
      <c r="CL16" s="14">
        <f>'[1]1Q'!$E16</f>
        <v>94</v>
      </c>
      <c r="CM16" s="14">
        <f>'[1]2Q'!$E16</f>
        <v>97</v>
      </c>
      <c r="CN16" s="14">
        <f>'[1]3Q'!$E16</f>
        <v>98</v>
      </c>
      <c r="CO16" s="14">
        <f>'[1]4Q'!$E16</f>
        <v>97</v>
      </c>
      <c r="CP16" s="57">
        <f>[1]Q!$E16</f>
        <v>97</v>
      </c>
      <c r="CQ16" s="58">
        <f>'[1]4Q'!CL11</f>
        <v>0</v>
      </c>
      <c r="CR16" s="59" t="str">
        <f t="shared" si="5"/>
        <v>PASSED</v>
      </c>
      <c r="CS16" s="59"/>
      <c r="CW16" s="60" t="str">
        <f>[1]SUMMARY!$P$1&amp;" "&amp;[1]SUMMARY!$T$1</f>
        <v>Mathematics  6</v>
      </c>
      <c r="CX16" s="61"/>
      <c r="CY16" s="61"/>
      <c r="CZ16" s="61"/>
      <c r="DA16" s="62"/>
      <c r="DB16" s="14">
        <f>'[1]1Q'!$E17</f>
        <v>93</v>
      </c>
      <c r="DC16" s="14">
        <f>'[1]2Q'!$E17</f>
        <v>92</v>
      </c>
      <c r="DD16" s="14">
        <f>'[1]3Q'!$E17</f>
        <v>90</v>
      </c>
      <c r="DE16" s="14">
        <f>'[1]4Q'!$E17</f>
        <v>95</v>
      </c>
      <c r="DF16" s="57">
        <f>[1]Q!$E17</f>
        <v>93</v>
      </c>
      <c r="DG16" s="58">
        <f>'[1]4Q'!DB11</f>
        <v>0</v>
      </c>
      <c r="DH16" s="59" t="str">
        <f t="shared" si="6"/>
        <v>PASSED</v>
      </c>
      <c r="DI16" s="59"/>
      <c r="DN16" s="60" t="str">
        <f>[1]SUMMARY!$P$1&amp;" "&amp;[1]SUMMARY!$T$1</f>
        <v>Mathematics  6</v>
      </c>
      <c r="DO16" s="61"/>
      <c r="DP16" s="61"/>
      <c r="DQ16" s="61"/>
      <c r="DR16" s="62"/>
      <c r="DS16" s="14">
        <f>'[1]1Q'!$E18</f>
        <v>89</v>
      </c>
      <c r="DT16" s="14">
        <f>'[1]2Q'!$E18</f>
        <v>92</v>
      </c>
      <c r="DU16" s="14">
        <f>'[1]3Q'!$E18</f>
        <v>90</v>
      </c>
      <c r="DV16" s="14">
        <f>'[1]4Q'!$E18</f>
        <v>92</v>
      </c>
      <c r="DW16" s="57">
        <f>[1]Q!$E18</f>
        <v>91</v>
      </c>
      <c r="DX16" s="58">
        <f>'[1]4Q'!DS11</f>
        <v>0</v>
      </c>
      <c r="DY16" s="59" t="str">
        <f t="shared" si="7"/>
        <v>PASSED</v>
      </c>
      <c r="DZ16" s="59"/>
      <c r="ED16" s="60" t="str">
        <f>[1]SUMMARY!$P$1&amp;" "&amp;[1]SUMMARY!$T$1</f>
        <v>Mathematics  6</v>
      </c>
      <c r="EE16" s="61"/>
      <c r="EF16" s="61"/>
      <c r="EG16" s="61"/>
      <c r="EH16" s="62"/>
      <c r="EI16" s="14">
        <f>'[1]1Q'!$E19</f>
        <v>91</v>
      </c>
      <c r="EJ16" s="14">
        <f>'[1]2Q'!$E19</f>
        <v>89</v>
      </c>
      <c r="EK16" s="14">
        <f>'[1]3Q'!$E19</f>
        <v>89</v>
      </c>
      <c r="EL16" s="14">
        <f>'[1]4Q'!$E19</f>
        <v>94</v>
      </c>
      <c r="EM16" s="57">
        <f>[1]Q!$E19</f>
        <v>91</v>
      </c>
      <c r="EN16" s="58">
        <f>'[1]4Q'!EI11</f>
        <v>0</v>
      </c>
      <c r="EO16" s="59" t="str">
        <f t="shared" si="8"/>
        <v>PASSED</v>
      </c>
      <c r="EP16" s="59"/>
      <c r="EU16" s="60" t="str">
        <f>[1]SUMMARY!$P$1&amp;" "&amp;[1]SUMMARY!$T$1</f>
        <v>Mathematics  6</v>
      </c>
      <c r="EV16" s="61"/>
      <c r="EW16" s="61"/>
      <c r="EX16" s="61"/>
      <c r="EY16" s="62"/>
      <c r="EZ16" s="14">
        <f>'[1]1Q'!$E20</f>
        <v>91</v>
      </c>
      <c r="FA16" s="14">
        <f>'[1]2Q'!$E20</f>
        <v>94</v>
      </c>
      <c r="FB16" s="14">
        <f>'[1]3Q'!$E20</f>
        <v>90</v>
      </c>
      <c r="FC16" s="14">
        <f>'[1]4Q'!$E20</f>
        <v>97</v>
      </c>
      <c r="FD16" s="57">
        <f>[1]Q!$E20</f>
        <v>93</v>
      </c>
      <c r="FE16" s="58">
        <f>'[1]4Q'!EZ11</f>
        <v>0</v>
      </c>
      <c r="FF16" s="59" t="str">
        <f t="shared" si="9"/>
        <v>PASSED</v>
      </c>
      <c r="FG16" s="59"/>
      <c r="FK16" s="60" t="str">
        <f>[1]SUMMARY!$P$1&amp;" "&amp;[1]SUMMARY!$T$1</f>
        <v>Mathematics  6</v>
      </c>
      <c r="FL16" s="61"/>
      <c r="FM16" s="61"/>
      <c r="FN16" s="61"/>
      <c r="FO16" s="62"/>
      <c r="FP16" s="14">
        <f>'[1]1Q'!$E21</f>
        <v>91</v>
      </c>
      <c r="FQ16" s="14">
        <f>'[1]2Q'!$E21</f>
        <v>91</v>
      </c>
      <c r="FR16" s="14">
        <f>'[1]3Q'!$E21</f>
        <v>88</v>
      </c>
      <c r="FS16" s="14">
        <f>'[1]4Q'!$E21</f>
        <v>91</v>
      </c>
      <c r="FT16" s="57">
        <f>[1]Q!$E21</f>
        <v>90</v>
      </c>
      <c r="FU16" s="58">
        <f>'[1]4Q'!FP11</f>
        <v>0</v>
      </c>
      <c r="FV16" s="59" t="str">
        <f t="shared" si="10"/>
        <v>PASSED</v>
      </c>
      <c r="FW16" s="59"/>
      <c r="GB16" s="60" t="str">
        <f>[1]SUMMARY!$P$1&amp;" "&amp;[1]SUMMARY!$T$1</f>
        <v>Mathematics  6</v>
      </c>
      <c r="GC16" s="61"/>
      <c r="GD16" s="61"/>
      <c r="GE16" s="61"/>
      <c r="GF16" s="62"/>
      <c r="GG16" s="14">
        <f>'[1]1Q'!$E22</f>
        <v>90</v>
      </c>
      <c r="GH16" s="14">
        <f>'[1]2Q'!$E22</f>
        <v>93</v>
      </c>
      <c r="GI16" s="14">
        <f>'[1]3Q'!$E22</f>
        <v>93</v>
      </c>
      <c r="GJ16" s="14">
        <f>'[1]4Q'!$E22</f>
        <v>97</v>
      </c>
      <c r="GK16" s="57">
        <f>[1]Q!$E22</f>
        <v>93</v>
      </c>
      <c r="GL16" s="58">
        <f>'[1]4Q'!GG11</f>
        <v>0</v>
      </c>
      <c r="GM16" s="59" t="str">
        <f t="shared" si="11"/>
        <v>PASSED</v>
      </c>
      <c r="GN16" s="59"/>
      <c r="GR16" s="60" t="str">
        <f>[1]SUMMARY!$P$1&amp;" "&amp;[1]SUMMARY!$T$1</f>
        <v>Mathematics  6</v>
      </c>
      <c r="GS16" s="61"/>
      <c r="GT16" s="61"/>
      <c r="GU16" s="61"/>
      <c r="GV16" s="62"/>
      <c r="GW16" s="14">
        <f>'[1]1Q'!$E23</f>
        <v>92</v>
      </c>
      <c r="GX16" s="14">
        <f>'[1]2Q'!$E23</f>
        <v>94</v>
      </c>
      <c r="GY16" s="14">
        <f>'[1]3Q'!$E23</f>
        <v>91</v>
      </c>
      <c r="GZ16" s="14">
        <f>'[1]4Q'!$E23</f>
        <v>95</v>
      </c>
      <c r="HA16" s="57">
        <f>[1]Q!$E23</f>
        <v>93</v>
      </c>
      <c r="HB16" s="58">
        <f>'[1]4Q'!GW11</f>
        <v>0</v>
      </c>
      <c r="HC16" s="59" t="str">
        <f t="shared" si="12"/>
        <v>PASSED</v>
      </c>
      <c r="HD16" s="59"/>
      <c r="HI16" s="60" t="str">
        <f>[1]SUMMARY!$P$1&amp;" "&amp;[1]SUMMARY!$T$1</f>
        <v>Mathematics  6</v>
      </c>
      <c r="HJ16" s="61"/>
      <c r="HK16" s="61"/>
      <c r="HL16" s="61"/>
      <c r="HM16" s="62"/>
      <c r="HN16" s="14">
        <f>'[1]1Q'!$E24</f>
        <v>93</v>
      </c>
      <c r="HO16" s="14">
        <f>'[1]2Q'!$E24</f>
        <v>95</v>
      </c>
      <c r="HP16" s="14">
        <f>'[1]3Q'!$E24</f>
        <v>95</v>
      </c>
      <c r="HQ16" s="14">
        <f>'[1]4Q'!$E24</f>
        <v>94</v>
      </c>
      <c r="HR16" s="57">
        <f>[1]Q!$E24</f>
        <v>94</v>
      </c>
      <c r="HS16" s="58">
        <f>'[1]4Q'!HN11</f>
        <v>0</v>
      </c>
      <c r="HT16" s="59" t="str">
        <f t="shared" si="13"/>
        <v>PASSED</v>
      </c>
      <c r="HU16" s="59"/>
      <c r="HY16" s="60" t="str">
        <f>[1]SUMMARY!$P$1&amp;" "&amp;[1]SUMMARY!$T$1</f>
        <v>Mathematics  6</v>
      </c>
      <c r="HZ16" s="61"/>
      <c r="IA16" s="61"/>
      <c r="IB16" s="61"/>
      <c r="IC16" s="62"/>
      <c r="ID16" s="14">
        <f>'[1]1Q'!$E25</f>
        <v>91</v>
      </c>
      <c r="IE16" s="14">
        <f>'[1]2Q'!$E25</f>
        <v>93</v>
      </c>
      <c r="IF16" s="14">
        <f>'[1]3Q'!$E25</f>
        <v>93</v>
      </c>
      <c r="IG16" s="14">
        <f>'[1]4Q'!$E25</f>
        <v>95</v>
      </c>
      <c r="IH16" s="57">
        <f>[1]Q!$E25</f>
        <v>93</v>
      </c>
      <c r="II16" s="58">
        <f>'[1]4Q'!ID11</f>
        <v>0</v>
      </c>
      <c r="IJ16" s="59" t="str">
        <f t="shared" si="14"/>
        <v>PASSED</v>
      </c>
      <c r="IK16" s="59"/>
      <c r="IP16" s="60" t="str">
        <f>[1]SUMMARY!$P$1&amp;" "&amp;[1]SUMMARY!$T$1</f>
        <v>Mathematics  6</v>
      </c>
      <c r="IQ16" s="61"/>
      <c r="IR16" s="61"/>
      <c r="IS16" s="61"/>
      <c r="IT16" s="62"/>
      <c r="IU16" s="14">
        <f>'[1]1Q'!$E26</f>
        <v>94</v>
      </c>
      <c r="IV16" s="14">
        <f>'[1]2Q'!$E26</f>
        <v>96</v>
      </c>
      <c r="IW16" s="14">
        <f>'[1]3Q'!$E26</f>
        <v>93</v>
      </c>
      <c r="IX16" s="14">
        <f>'[1]4Q'!$E26</f>
        <v>97</v>
      </c>
      <c r="IY16" s="57">
        <f>[1]Q!$E26</f>
        <v>95</v>
      </c>
      <c r="IZ16" s="58">
        <f>'[1]4Q'!IU11</f>
        <v>0</v>
      </c>
      <c r="JA16" s="59" t="str">
        <f t="shared" si="15"/>
        <v>PASSED</v>
      </c>
      <c r="JB16" s="59"/>
      <c r="JF16" s="60" t="str">
        <f>[1]SUMMARY!$P$1&amp;" "&amp;[1]SUMMARY!$T$1</f>
        <v>Mathematics  6</v>
      </c>
      <c r="JG16" s="61"/>
      <c r="JH16" s="61"/>
      <c r="JI16" s="61"/>
      <c r="JJ16" s="62"/>
      <c r="JK16" s="14">
        <f>'[1]1Q'!$E27</f>
        <v>96</v>
      </c>
      <c r="JL16" s="14">
        <f>'[1]2Q'!$E27</f>
        <v>95</v>
      </c>
      <c r="JM16" s="14">
        <f>'[1]3Q'!$E27</f>
        <v>93</v>
      </c>
      <c r="JN16" s="14">
        <f>'[1]4Q'!$E27</f>
        <v>98</v>
      </c>
      <c r="JO16" s="57">
        <f>[1]Q!$E27</f>
        <v>96</v>
      </c>
      <c r="JP16" s="58">
        <f>'[1]4Q'!JK11</f>
        <v>0</v>
      </c>
      <c r="JQ16" s="59" t="str">
        <f t="shared" si="16"/>
        <v>PASSED</v>
      </c>
      <c r="JR16" s="59"/>
      <c r="JS16" s="12"/>
      <c r="JW16" s="60" t="str">
        <f>[1]SUMMARY!$P$1&amp;" "&amp;[1]SUMMARY!$T$1</f>
        <v>Mathematics  6</v>
      </c>
      <c r="JX16" s="61"/>
      <c r="JY16" s="61"/>
      <c r="JZ16" s="61"/>
      <c r="KA16" s="62"/>
      <c r="KB16" s="14">
        <f>'[1]1Q'!$E28</f>
        <v>90</v>
      </c>
      <c r="KC16" s="14">
        <f>'[1]2Q'!$E28</f>
        <v>94</v>
      </c>
      <c r="KD16" s="14">
        <f>'[1]3Q'!$E28</f>
        <v>92</v>
      </c>
      <c r="KE16" s="14">
        <f>'[1]4Q'!$E28</f>
        <v>93</v>
      </c>
      <c r="KF16" s="57">
        <f>[1]Q!$E28</f>
        <v>92</v>
      </c>
      <c r="KG16" s="58">
        <f>'[1]4Q'!KB11</f>
        <v>0</v>
      </c>
      <c r="KH16" s="59" t="str">
        <f t="shared" si="17"/>
        <v>PASSED</v>
      </c>
      <c r="KI16" s="59"/>
      <c r="KJ16" s="15"/>
      <c r="KM16" s="60" t="str">
        <f>[1]SUMMARY!$P$1&amp;" "&amp;[1]SUMMARY!$T$1</f>
        <v>Mathematics  6</v>
      </c>
      <c r="KN16" s="61"/>
      <c r="KO16" s="61"/>
      <c r="KP16" s="61"/>
      <c r="KQ16" s="62"/>
      <c r="KR16" s="14">
        <f>'[1]1Q'!$E29</f>
        <v>91</v>
      </c>
      <c r="KS16" s="14">
        <f>'[1]2Q'!$E29</f>
        <v>93</v>
      </c>
      <c r="KT16" s="14">
        <f>'[1]3Q'!$E29</f>
        <v>93</v>
      </c>
      <c r="KU16" s="14">
        <f>'[1]4Q'!$E29</f>
        <v>94</v>
      </c>
      <c r="KV16" s="57">
        <f>[1]Q!$E29</f>
        <v>93</v>
      </c>
      <c r="KW16" s="58"/>
      <c r="KX16" s="59" t="str">
        <f t="shared" si="18"/>
        <v>PASSED</v>
      </c>
      <c r="KY16" s="59"/>
      <c r="KZ16" s="15"/>
      <c r="LD16" s="60" t="str">
        <f>[1]SUMMARY!$P$1&amp;" "&amp;[1]SUMMARY!$T$1</f>
        <v>Mathematics  6</v>
      </c>
      <c r="LE16" s="61"/>
      <c r="LF16" s="61"/>
      <c r="LG16" s="61"/>
      <c r="LH16" s="62"/>
      <c r="LI16" s="14">
        <f>'[1]1Q'!$E30</f>
        <v>94</v>
      </c>
      <c r="LJ16" s="14">
        <f>'[1]2Q'!$E30</f>
        <v>94</v>
      </c>
      <c r="LK16" s="14">
        <f>'[1]3Q'!$E30</f>
        <v>93</v>
      </c>
      <c r="LL16" s="14">
        <f>'[1]4Q'!$E30</f>
        <v>98</v>
      </c>
      <c r="LM16" s="57">
        <f>[1]Q!$E30</f>
        <v>95</v>
      </c>
      <c r="LN16" s="58">
        <f>'[1]4Q'!LI11</f>
        <v>0</v>
      </c>
      <c r="LO16" s="59" t="str">
        <f t="shared" si="19"/>
        <v>PASSED</v>
      </c>
      <c r="LP16" s="59"/>
    </row>
    <row r="17" spans="1:330" s="9" customFormat="1" ht="19.05" customHeight="1" x14ac:dyDescent="0.3">
      <c r="B17" s="60" t="str">
        <f>[1]SUMMARY!$U$1&amp;" "&amp;[1]SUMMARY!$Y$1</f>
        <v>Science  5</v>
      </c>
      <c r="C17" s="61"/>
      <c r="D17" s="61"/>
      <c r="E17" s="61"/>
      <c r="F17" s="62"/>
      <c r="G17" s="14">
        <f>'[1]1Q'!$F11</f>
        <v>89</v>
      </c>
      <c r="H17" s="14">
        <f>'[1]2Q'!$F11</f>
        <v>92</v>
      </c>
      <c r="I17" s="14">
        <f>'[1]3Q'!$F11</f>
        <v>91</v>
      </c>
      <c r="J17" s="14">
        <f>'[1]4Q'!$F11</f>
        <v>89</v>
      </c>
      <c r="K17" s="57">
        <f>[1]Q!$F11</f>
        <v>90</v>
      </c>
      <c r="L17" s="58">
        <f>'[1]4Q'!K11</f>
        <v>95</v>
      </c>
      <c r="M17" s="59" t="str">
        <f t="shared" si="0"/>
        <v>PASSED</v>
      </c>
      <c r="N17" s="59"/>
      <c r="S17" s="60" t="str">
        <f>[1]SUMMARY!$U$1&amp;" "&amp;[1]SUMMARY!$Y$1</f>
        <v>Science  5</v>
      </c>
      <c r="T17" s="61"/>
      <c r="U17" s="61"/>
      <c r="V17" s="61"/>
      <c r="W17" s="62"/>
      <c r="X17" s="14">
        <f>'[1]1Q'!$F12</f>
        <v>91</v>
      </c>
      <c r="Y17" s="14">
        <f>'[1]2Q'!$F12</f>
        <v>89</v>
      </c>
      <c r="Z17" s="14">
        <f>'[1]3Q'!$F12</f>
        <v>83</v>
      </c>
      <c r="AA17" s="14">
        <f>'[1]4Q'!$F12</f>
        <v>88</v>
      </c>
      <c r="AB17" s="57">
        <f>[1]Q!$F12</f>
        <v>88</v>
      </c>
      <c r="AC17" s="58">
        <f>'[1]4Q'!Y11</f>
        <v>0</v>
      </c>
      <c r="AD17" s="59" t="str">
        <f t="shared" si="1"/>
        <v>PASSED</v>
      </c>
      <c r="AE17" s="59"/>
      <c r="AI17" s="60" t="str">
        <f>[1]SUMMARY!$U$1&amp;" "&amp;[1]SUMMARY!$Y$1</f>
        <v>Science  5</v>
      </c>
      <c r="AJ17" s="61"/>
      <c r="AK17" s="61"/>
      <c r="AL17" s="61"/>
      <c r="AM17" s="62"/>
      <c r="AN17" s="14">
        <f>'[1]1Q'!$F13</f>
        <v>93</v>
      </c>
      <c r="AO17" s="14">
        <f>'[1]2Q'!$F13</f>
        <v>98</v>
      </c>
      <c r="AP17" s="14">
        <f>'[1]3Q'!$F13</f>
        <v>96</v>
      </c>
      <c r="AQ17" s="14">
        <f>'[1]4Q'!$F13</f>
        <v>96</v>
      </c>
      <c r="AR17" s="57">
        <f>[1]Q!$F13</f>
        <v>96</v>
      </c>
      <c r="AS17" s="58">
        <f>'[1]4Q'!AO11</f>
        <v>0</v>
      </c>
      <c r="AT17" s="59" t="str">
        <f t="shared" si="2"/>
        <v>PASSED</v>
      </c>
      <c r="AU17" s="59"/>
      <c r="AZ17" s="60" t="str">
        <f>[1]SUMMARY!$U$1&amp;" "&amp;[1]SUMMARY!$Y$1</f>
        <v>Science  5</v>
      </c>
      <c r="BA17" s="61"/>
      <c r="BB17" s="61"/>
      <c r="BC17" s="61"/>
      <c r="BD17" s="62"/>
      <c r="BE17" s="14">
        <f>'[1]1Q'!$F14</f>
        <v>88</v>
      </c>
      <c r="BF17" s="14">
        <f>'[1]2Q'!$F14</f>
        <v>92</v>
      </c>
      <c r="BG17" s="14">
        <f>'[1]3Q'!$F14</f>
        <v>85</v>
      </c>
      <c r="BH17" s="14">
        <f>'[1]4Q'!$F14</f>
        <v>87</v>
      </c>
      <c r="BI17" s="57">
        <f>[1]Q!$F14</f>
        <v>88</v>
      </c>
      <c r="BJ17" s="58">
        <f>'[1]4Q'!BF11</f>
        <v>0</v>
      </c>
      <c r="BK17" s="59" t="str">
        <f t="shared" si="3"/>
        <v>PASSED</v>
      </c>
      <c r="BL17" s="59"/>
      <c r="BP17" s="60" t="str">
        <f>[1]SUMMARY!$U$1&amp;" "&amp;[1]SUMMARY!$Y$1</f>
        <v>Science  5</v>
      </c>
      <c r="BQ17" s="61"/>
      <c r="BR17" s="61"/>
      <c r="BS17" s="61"/>
      <c r="BT17" s="62"/>
      <c r="BU17" s="14">
        <f>'[1]1Q'!$F15</f>
        <v>90</v>
      </c>
      <c r="BV17" s="14">
        <f>'[1]2Q'!$F15</f>
        <v>96</v>
      </c>
      <c r="BW17" s="14">
        <f>'[1]3Q'!$F15</f>
        <v>92</v>
      </c>
      <c r="BX17" s="14">
        <f>'[1]4Q'!$F15</f>
        <v>92</v>
      </c>
      <c r="BY17" s="57">
        <f>[1]Q!$F15</f>
        <v>93</v>
      </c>
      <c r="BZ17" s="58">
        <f>'[1]4Q'!BV11</f>
        <v>0</v>
      </c>
      <c r="CA17" s="59" t="str">
        <f t="shared" si="4"/>
        <v>PASSED</v>
      </c>
      <c r="CB17" s="59"/>
      <c r="CG17" s="60" t="str">
        <f>[1]SUMMARY!$U$1&amp;" "&amp;[1]SUMMARY!$Y$1</f>
        <v>Science  5</v>
      </c>
      <c r="CH17" s="61"/>
      <c r="CI17" s="61"/>
      <c r="CJ17" s="61"/>
      <c r="CK17" s="62"/>
      <c r="CL17" s="14">
        <f>'[1]1Q'!$F16</f>
        <v>95</v>
      </c>
      <c r="CM17" s="14">
        <f>'[1]2Q'!$F16</f>
        <v>96</v>
      </c>
      <c r="CN17" s="14">
        <f>'[1]3Q'!$F16</f>
        <v>97</v>
      </c>
      <c r="CO17" s="14">
        <f>'[1]4Q'!$F16</f>
        <v>95</v>
      </c>
      <c r="CP17" s="57">
        <f>[1]Q!$F16</f>
        <v>96</v>
      </c>
      <c r="CQ17" s="58">
        <f>'[1]4Q'!CM11</f>
        <v>0</v>
      </c>
      <c r="CR17" s="59" t="str">
        <f t="shared" si="5"/>
        <v>PASSED</v>
      </c>
      <c r="CS17" s="59"/>
      <c r="CW17" s="60" t="str">
        <f>[1]SUMMARY!$U$1&amp;" "&amp;[1]SUMMARY!$Y$1</f>
        <v>Science  5</v>
      </c>
      <c r="CX17" s="61"/>
      <c r="CY17" s="61"/>
      <c r="CZ17" s="61"/>
      <c r="DA17" s="62"/>
      <c r="DB17" s="14">
        <f>'[1]1Q'!$F17</f>
        <v>93</v>
      </c>
      <c r="DC17" s="14">
        <f>'[1]2Q'!$F17</f>
        <v>95</v>
      </c>
      <c r="DD17" s="14">
        <f>'[1]3Q'!$F17</f>
        <v>92</v>
      </c>
      <c r="DE17" s="14">
        <f>'[1]4Q'!$F17</f>
        <v>91</v>
      </c>
      <c r="DF17" s="57">
        <f>[1]Q!$F17</f>
        <v>93</v>
      </c>
      <c r="DG17" s="58">
        <f>'[1]4Q'!DC11</f>
        <v>0</v>
      </c>
      <c r="DH17" s="59" t="str">
        <f t="shared" si="6"/>
        <v>PASSED</v>
      </c>
      <c r="DI17" s="59"/>
      <c r="DN17" s="60" t="str">
        <f>[1]SUMMARY!$U$1&amp;" "&amp;[1]SUMMARY!$Y$1</f>
        <v>Science  5</v>
      </c>
      <c r="DO17" s="61"/>
      <c r="DP17" s="61"/>
      <c r="DQ17" s="61"/>
      <c r="DR17" s="62"/>
      <c r="DS17" s="14">
        <f>'[1]1Q'!$F18</f>
        <v>87</v>
      </c>
      <c r="DT17" s="14">
        <f>'[1]2Q'!$F18</f>
        <v>92</v>
      </c>
      <c r="DU17" s="14">
        <f>'[1]3Q'!$F18</f>
        <v>86</v>
      </c>
      <c r="DV17" s="14">
        <f>'[1]4Q'!$F18</f>
        <v>88</v>
      </c>
      <c r="DW17" s="57">
        <f>[1]Q!$F18</f>
        <v>88</v>
      </c>
      <c r="DX17" s="58">
        <f>'[1]4Q'!DT11</f>
        <v>0</v>
      </c>
      <c r="DY17" s="59" t="str">
        <f t="shared" si="7"/>
        <v>PASSED</v>
      </c>
      <c r="DZ17" s="59"/>
      <c r="ED17" s="60" t="str">
        <f>[1]SUMMARY!$U$1&amp;" "&amp;[1]SUMMARY!$Y$1</f>
        <v>Science  5</v>
      </c>
      <c r="EE17" s="61"/>
      <c r="EF17" s="61"/>
      <c r="EG17" s="61"/>
      <c r="EH17" s="62"/>
      <c r="EI17" s="14">
        <f>'[1]1Q'!$F19</f>
        <v>80</v>
      </c>
      <c r="EJ17" s="14">
        <f>'[1]2Q'!$F19</f>
        <v>89</v>
      </c>
      <c r="EK17" s="14">
        <f>'[1]3Q'!$F19</f>
        <v>95</v>
      </c>
      <c r="EL17" s="14">
        <f>'[1]4Q'!$F19</f>
        <v>87</v>
      </c>
      <c r="EM17" s="57">
        <f>[1]Q!$F19</f>
        <v>88</v>
      </c>
      <c r="EN17" s="58">
        <f>'[1]4Q'!EJ11</f>
        <v>0</v>
      </c>
      <c r="EO17" s="59" t="str">
        <f t="shared" si="8"/>
        <v>PASSED</v>
      </c>
      <c r="EP17" s="59"/>
      <c r="EU17" s="60" t="str">
        <f>[1]SUMMARY!$U$1&amp;" "&amp;[1]SUMMARY!$Y$1</f>
        <v>Science  5</v>
      </c>
      <c r="EV17" s="61"/>
      <c r="EW17" s="61"/>
      <c r="EX17" s="61"/>
      <c r="EY17" s="62"/>
      <c r="EZ17" s="14">
        <f>'[1]1Q'!$F20</f>
        <v>96</v>
      </c>
      <c r="FA17" s="14">
        <f>'[1]2Q'!$F20</f>
        <v>95</v>
      </c>
      <c r="FB17" s="14">
        <f>'[1]3Q'!$F20</f>
        <v>96</v>
      </c>
      <c r="FC17" s="14">
        <f>'[1]4Q'!$F20</f>
        <v>94</v>
      </c>
      <c r="FD17" s="57">
        <f>[1]Q!$F20</f>
        <v>95</v>
      </c>
      <c r="FE17" s="58">
        <f>'[1]4Q'!FA11</f>
        <v>0</v>
      </c>
      <c r="FF17" s="59" t="str">
        <f t="shared" si="9"/>
        <v>PASSED</v>
      </c>
      <c r="FG17" s="59"/>
      <c r="FK17" s="60" t="str">
        <f>[1]SUMMARY!$U$1&amp;" "&amp;[1]SUMMARY!$Y$1</f>
        <v>Science  5</v>
      </c>
      <c r="FL17" s="61"/>
      <c r="FM17" s="61"/>
      <c r="FN17" s="61"/>
      <c r="FO17" s="62"/>
      <c r="FP17" s="14">
        <f>'[1]1Q'!$F21</f>
        <v>89</v>
      </c>
      <c r="FQ17" s="14">
        <f>'[1]2Q'!$F21</f>
        <v>91</v>
      </c>
      <c r="FR17" s="14">
        <f>'[1]3Q'!$F21</f>
        <v>91</v>
      </c>
      <c r="FS17" s="14">
        <f>'[1]4Q'!$F21</f>
        <v>89</v>
      </c>
      <c r="FT17" s="57">
        <f>[1]Q!$F21</f>
        <v>90</v>
      </c>
      <c r="FU17" s="58">
        <f>'[1]4Q'!FQ11</f>
        <v>0</v>
      </c>
      <c r="FV17" s="59" t="str">
        <f t="shared" si="10"/>
        <v>PASSED</v>
      </c>
      <c r="FW17" s="59"/>
      <c r="GB17" s="60" t="str">
        <f>[1]SUMMARY!$U$1&amp;" "&amp;[1]SUMMARY!$Y$1</f>
        <v>Science  5</v>
      </c>
      <c r="GC17" s="61"/>
      <c r="GD17" s="61"/>
      <c r="GE17" s="61"/>
      <c r="GF17" s="62"/>
      <c r="GG17" s="14">
        <f>'[1]1Q'!$F22</f>
        <v>95</v>
      </c>
      <c r="GH17" s="14">
        <f>'[1]2Q'!$F22</f>
        <v>96</v>
      </c>
      <c r="GI17" s="14">
        <f>'[1]3Q'!$F22</f>
        <v>96</v>
      </c>
      <c r="GJ17" s="14">
        <f>'[1]4Q'!$F22</f>
        <v>91</v>
      </c>
      <c r="GK17" s="57">
        <f>[1]Q!$F22</f>
        <v>95</v>
      </c>
      <c r="GL17" s="58">
        <f>'[1]4Q'!GH11</f>
        <v>0</v>
      </c>
      <c r="GM17" s="59" t="str">
        <f t="shared" si="11"/>
        <v>PASSED</v>
      </c>
      <c r="GN17" s="59"/>
      <c r="GR17" s="60" t="str">
        <f>[1]SUMMARY!$U$1&amp;" "&amp;[1]SUMMARY!$Y$1</f>
        <v>Science  5</v>
      </c>
      <c r="GS17" s="61"/>
      <c r="GT17" s="61"/>
      <c r="GU17" s="61"/>
      <c r="GV17" s="62"/>
      <c r="GW17" s="14">
        <f>'[1]1Q'!$F23</f>
        <v>94</v>
      </c>
      <c r="GX17" s="14">
        <f>'[1]2Q'!$F23</f>
        <v>88</v>
      </c>
      <c r="GY17" s="14">
        <f>'[1]3Q'!$F23</f>
        <v>95</v>
      </c>
      <c r="GZ17" s="14">
        <f>'[1]4Q'!$F23</f>
        <v>89</v>
      </c>
      <c r="HA17" s="57">
        <f>[1]Q!$F23</f>
        <v>92</v>
      </c>
      <c r="HB17" s="58">
        <f>'[1]4Q'!GX11</f>
        <v>0</v>
      </c>
      <c r="HC17" s="59" t="str">
        <f t="shared" si="12"/>
        <v>PASSED</v>
      </c>
      <c r="HD17" s="59"/>
      <c r="HI17" s="60" t="str">
        <f>[1]SUMMARY!$U$1&amp;" "&amp;[1]SUMMARY!$Y$1</f>
        <v>Science  5</v>
      </c>
      <c r="HJ17" s="61"/>
      <c r="HK17" s="61"/>
      <c r="HL17" s="61"/>
      <c r="HM17" s="62"/>
      <c r="HN17" s="14">
        <f>'[1]1Q'!$F24</f>
        <v>94</v>
      </c>
      <c r="HO17" s="14">
        <f>'[1]2Q'!$F24</f>
        <v>95</v>
      </c>
      <c r="HP17" s="14">
        <f>'[1]3Q'!$F24</f>
        <v>92</v>
      </c>
      <c r="HQ17" s="14">
        <f>'[1]4Q'!$F24</f>
        <v>92</v>
      </c>
      <c r="HR17" s="57">
        <f>[1]Q!$F24</f>
        <v>93</v>
      </c>
      <c r="HS17" s="58">
        <f>'[1]4Q'!HO11</f>
        <v>0</v>
      </c>
      <c r="HT17" s="59" t="str">
        <f t="shared" si="13"/>
        <v>PASSED</v>
      </c>
      <c r="HU17" s="59"/>
      <c r="HY17" s="60" t="str">
        <f>[1]SUMMARY!$U$1&amp;" "&amp;[1]SUMMARY!$Y$1</f>
        <v>Science  5</v>
      </c>
      <c r="HZ17" s="61"/>
      <c r="IA17" s="61"/>
      <c r="IB17" s="61"/>
      <c r="IC17" s="62"/>
      <c r="ID17" s="14">
        <f>'[1]1Q'!$F25</f>
        <v>90</v>
      </c>
      <c r="IE17" s="14">
        <f>'[1]2Q'!$F25</f>
        <v>95</v>
      </c>
      <c r="IF17" s="14">
        <f>'[1]3Q'!$F25</f>
        <v>93</v>
      </c>
      <c r="IG17" s="14">
        <f>'[1]4Q'!$F25</f>
        <v>90</v>
      </c>
      <c r="IH17" s="57">
        <f>[1]Q!$F25</f>
        <v>92</v>
      </c>
      <c r="II17" s="58">
        <f>'[1]4Q'!IE11</f>
        <v>0</v>
      </c>
      <c r="IJ17" s="59" t="str">
        <f t="shared" si="14"/>
        <v>PASSED</v>
      </c>
      <c r="IK17" s="59"/>
      <c r="IP17" s="60" t="str">
        <f>[1]SUMMARY!$U$1&amp;" "&amp;[1]SUMMARY!$Y$1</f>
        <v>Science  5</v>
      </c>
      <c r="IQ17" s="61"/>
      <c r="IR17" s="61"/>
      <c r="IS17" s="61"/>
      <c r="IT17" s="62"/>
      <c r="IU17" s="14">
        <f>'[1]1Q'!$F26</f>
        <v>97</v>
      </c>
      <c r="IV17" s="14">
        <f>'[1]2Q'!$F26</f>
        <v>98</v>
      </c>
      <c r="IW17" s="14">
        <f>'[1]3Q'!$F26</f>
        <v>98</v>
      </c>
      <c r="IX17" s="14">
        <f>'[1]4Q'!$F26</f>
        <v>92</v>
      </c>
      <c r="IY17" s="57">
        <f>[1]Q!$F26</f>
        <v>96</v>
      </c>
      <c r="IZ17" s="58">
        <f>'[1]4Q'!IV11</f>
        <v>0</v>
      </c>
      <c r="JA17" s="59" t="str">
        <f t="shared" si="15"/>
        <v>PASSED</v>
      </c>
      <c r="JB17" s="59"/>
      <c r="JF17" s="60" t="str">
        <f>[1]SUMMARY!$U$1&amp;" "&amp;[1]SUMMARY!$Y$1</f>
        <v>Science  5</v>
      </c>
      <c r="JG17" s="61"/>
      <c r="JH17" s="61"/>
      <c r="JI17" s="61"/>
      <c r="JJ17" s="62"/>
      <c r="JK17" s="14">
        <f>'[1]1Q'!$F27</f>
        <v>97</v>
      </c>
      <c r="JL17" s="14">
        <f>'[1]2Q'!$F27</f>
        <v>96</v>
      </c>
      <c r="JM17" s="14">
        <f>'[1]3Q'!$F27</f>
        <v>96</v>
      </c>
      <c r="JN17" s="14">
        <f>'[1]4Q'!$F27</f>
        <v>89</v>
      </c>
      <c r="JO17" s="57">
        <f>[1]Q!$F27</f>
        <v>95</v>
      </c>
      <c r="JP17" s="58">
        <f>'[1]4Q'!JL11</f>
        <v>0</v>
      </c>
      <c r="JQ17" s="59" t="str">
        <f t="shared" si="16"/>
        <v>PASSED</v>
      </c>
      <c r="JR17" s="59"/>
      <c r="JS17" s="12"/>
      <c r="JW17" s="60" t="str">
        <f>[1]SUMMARY!$U$1&amp;" "&amp;[1]SUMMARY!$Y$1</f>
        <v>Science  5</v>
      </c>
      <c r="JX17" s="61"/>
      <c r="JY17" s="61"/>
      <c r="JZ17" s="61"/>
      <c r="KA17" s="62"/>
      <c r="KB17" s="14">
        <f>'[1]1Q'!$F28</f>
        <v>90</v>
      </c>
      <c r="KC17" s="14">
        <f>'[1]2Q'!$F28</f>
        <v>92</v>
      </c>
      <c r="KD17" s="14">
        <f>'[1]3Q'!$F28</f>
        <v>92</v>
      </c>
      <c r="KE17" s="14">
        <f>'[1]4Q'!$F28</f>
        <v>91</v>
      </c>
      <c r="KF17" s="57">
        <f>[1]Q!$F28</f>
        <v>91</v>
      </c>
      <c r="KG17" s="58">
        <f>'[1]4Q'!KC11</f>
        <v>0</v>
      </c>
      <c r="KH17" s="59" t="str">
        <f t="shared" si="17"/>
        <v>PASSED</v>
      </c>
      <c r="KI17" s="59"/>
      <c r="KJ17" s="15"/>
      <c r="KM17" s="60" t="str">
        <f>[1]SUMMARY!$U$1&amp;" "&amp;[1]SUMMARY!$Y$1</f>
        <v>Science  5</v>
      </c>
      <c r="KN17" s="61"/>
      <c r="KO17" s="61"/>
      <c r="KP17" s="61"/>
      <c r="KQ17" s="62"/>
      <c r="KR17" s="14">
        <f>'[1]1Q'!$F29</f>
        <v>90</v>
      </c>
      <c r="KS17" s="14">
        <f>'[1]2Q'!$F29</f>
        <v>93</v>
      </c>
      <c r="KT17" s="14">
        <f>'[1]3Q'!$F29</f>
        <v>93</v>
      </c>
      <c r="KU17" s="14">
        <f>'[1]4Q'!$F29</f>
        <v>92</v>
      </c>
      <c r="KV17" s="57">
        <f>[1]Q!$F29</f>
        <v>92</v>
      </c>
      <c r="KW17" s="58"/>
      <c r="KX17" s="59" t="str">
        <f t="shared" si="18"/>
        <v>PASSED</v>
      </c>
      <c r="KY17" s="59"/>
      <c r="KZ17" s="15"/>
      <c r="LD17" s="60" t="str">
        <f>[1]SUMMARY!$U$1&amp;" "&amp;[1]SUMMARY!$Y$1</f>
        <v>Science  5</v>
      </c>
      <c r="LE17" s="61"/>
      <c r="LF17" s="61"/>
      <c r="LG17" s="61"/>
      <c r="LH17" s="62"/>
      <c r="LI17" s="14">
        <f>'[1]1Q'!$F30</f>
        <v>96</v>
      </c>
      <c r="LJ17" s="14">
        <f>'[1]2Q'!$F30</f>
        <v>97</v>
      </c>
      <c r="LK17" s="14">
        <f>'[1]3Q'!$F30</f>
        <v>95</v>
      </c>
      <c r="LL17" s="14">
        <f>'[1]4Q'!$F30</f>
        <v>94</v>
      </c>
      <c r="LM17" s="57">
        <f>[1]Q!$F30</f>
        <v>96</v>
      </c>
      <c r="LN17" s="58">
        <f>'[1]4Q'!LJ11</f>
        <v>0</v>
      </c>
      <c r="LO17" s="59" t="str">
        <f t="shared" si="19"/>
        <v>PASSED</v>
      </c>
      <c r="LP17" s="59"/>
    </row>
    <row r="18" spans="1:330" s="9" customFormat="1" ht="19.05" customHeight="1" x14ac:dyDescent="0.3">
      <c r="B18" s="60" t="str">
        <f>[1]SUMMARY!$Z$1&amp;" "&amp;[1]SUMMARY!$AD$1</f>
        <v>Araling Panlipunan  4</v>
      </c>
      <c r="C18" s="61"/>
      <c r="D18" s="61"/>
      <c r="E18" s="61"/>
      <c r="F18" s="62"/>
      <c r="G18" s="14">
        <f>'[1]1Q'!$G11</f>
        <v>92</v>
      </c>
      <c r="H18" s="14">
        <f>'[1]2Q'!$G11</f>
        <v>87</v>
      </c>
      <c r="I18" s="14">
        <f>'[1]3Q'!$G11</f>
        <v>95</v>
      </c>
      <c r="J18" s="14">
        <f>'[1]4Q'!$G11</f>
        <v>97</v>
      </c>
      <c r="K18" s="57">
        <f>[1]Q!$G11</f>
        <v>93</v>
      </c>
      <c r="L18" s="58">
        <f>'[1]4Q'!L11</f>
        <v>96</v>
      </c>
      <c r="M18" s="59" t="str">
        <f t="shared" si="0"/>
        <v>PASSED</v>
      </c>
      <c r="N18" s="59"/>
      <c r="S18" s="60" t="str">
        <f>[1]SUMMARY!$Z$1&amp;" "&amp;[1]SUMMARY!$AD$1</f>
        <v>Araling Panlipunan  4</v>
      </c>
      <c r="T18" s="61"/>
      <c r="U18" s="61"/>
      <c r="V18" s="61"/>
      <c r="W18" s="62"/>
      <c r="X18" s="14">
        <f>'[1]1Q'!$G12</f>
        <v>91</v>
      </c>
      <c r="Y18" s="14">
        <f>'[1]2Q'!$G12</f>
        <v>87</v>
      </c>
      <c r="Z18" s="14">
        <f>'[1]3Q'!$G12</f>
        <v>94</v>
      </c>
      <c r="AA18" s="14">
        <f>'[1]4Q'!$G12</f>
        <v>96</v>
      </c>
      <c r="AB18" s="57">
        <f>[1]Q!$G12</f>
        <v>92</v>
      </c>
      <c r="AC18" s="58">
        <f>'[1]4Q'!Z11</f>
        <v>0</v>
      </c>
      <c r="AD18" s="59" t="str">
        <f t="shared" si="1"/>
        <v>PASSED</v>
      </c>
      <c r="AE18" s="59"/>
      <c r="AI18" s="60" t="str">
        <f>[1]SUMMARY!$Z$1&amp;" "&amp;[1]SUMMARY!$AD$1</f>
        <v>Araling Panlipunan  4</v>
      </c>
      <c r="AJ18" s="61"/>
      <c r="AK18" s="61"/>
      <c r="AL18" s="61"/>
      <c r="AM18" s="62"/>
      <c r="AN18" s="14">
        <f>'[1]1Q'!$G13</f>
        <v>96</v>
      </c>
      <c r="AO18" s="14">
        <f>'[1]2Q'!$G13</f>
        <v>94</v>
      </c>
      <c r="AP18" s="14">
        <f>'[1]3Q'!$G13</f>
        <v>99</v>
      </c>
      <c r="AQ18" s="14">
        <f>'[1]4Q'!$G13</f>
        <v>98</v>
      </c>
      <c r="AR18" s="57">
        <f>[1]Q!$G13</f>
        <v>97</v>
      </c>
      <c r="AS18" s="58">
        <f>'[1]4Q'!AP11</f>
        <v>0</v>
      </c>
      <c r="AT18" s="59" t="str">
        <f t="shared" si="2"/>
        <v>PASSED</v>
      </c>
      <c r="AU18" s="59"/>
      <c r="AZ18" s="60" t="str">
        <f>[1]SUMMARY!$Z$1&amp;" "&amp;[1]SUMMARY!$AD$1</f>
        <v>Araling Panlipunan  4</v>
      </c>
      <c r="BA18" s="61"/>
      <c r="BB18" s="61"/>
      <c r="BC18" s="61"/>
      <c r="BD18" s="62"/>
      <c r="BE18" s="14">
        <f>'[1]1Q'!$G14</f>
        <v>90</v>
      </c>
      <c r="BF18" s="14">
        <f>'[1]2Q'!$G14</f>
        <v>87</v>
      </c>
      <c r="BG18" s="14">
        <f>'[1]3Q'!$G14</f>
        <v>94</v>
      </c>
      <c r="BH18" s="14">
        <f>'[1]4Q'!$G14</f>
        <v>94</v>
      </c>
      <c r="BI18" s="57">
        <f>[1]Q!$G14</f>
        <v>91</v>
      </c>
      <c r="BJ18" s="58">
        <f>'[1]4Q'!BG11</f>
        <v>0</v>
      </c>
      <c r="BK18" s="59" t="str">
        <f t="shared" si="3"/>
        <v>PASSED</v>
      </c>
      <c r="BL18" s="59"/>
      <c r="BP18" s="60" t="str">
        <f>[1]SUMMARY!$Z$1&amp;" "&amp;[1]SUMMARY!$AD$1</f>
        <v>Araling Panlipunan  4</v>
      </c>
      <c r="BQ18" s="61"/>
      <c r="BR18" s="61"/>
      <c r="BS18" s="61"/>
      <c r="BT18" s="62"/>
      <c r="BU18" s="14">
        <f>'[1]1Q'!$G15</f>
        <v>90</v>
      </c>
      <c r="BV18" s="14">
        <f>'[1]2Q'!$G15</f>
        <v>90</v>
      </c>
      <c r="BW18" s="14">
        <f>'[1]3Q'!$G15</f>
        <v>94</v>
      </c>
      <c r="BX18" s="14">
        <f>'[1]4Q'!$G15</f>
        <v>97</v>
      </c>
      <c r="BY18" s="57">
        <f>[1]Q!$G15</f>
        <v>93</v>
      </c>
      <c r="BZ18" s="58">
        <f>'[1]4Q'!BW11</f>
        <v>0</v>
      </c>
      <c r="CA18" s="59" t="str">
        <f t="shared" si="4"/>
        <v>PASSED</v>
      </c>
      <c r="CB18" s="59"/>
      <c r="CG18" s="60" t="str">
        <f>[1]SUMMARY!$Z$1&amp;" "&amp;[1]SUMMARY!$AD$1</f>
        <v>Araling Panlipunan  4</v>
      </c>
      <c r="CH18" s="61"/>
      <c r="CI18" s="61"/>
      <c r="CJ18" s="61"/>
      <c r="CK18" s="62"/>
      <c r="CL18" s="14">
        <f>'[1]1Q'!$G16</f>
        <v>94</v>
      </c>
      <c r="CM18" s="14">
        <f>'[1]2Q'!$G16</f>
        <v>96</v>
      </c>
      <c r="CN18" s="14">
        <f>'[1]3Q'!$G16</f>
        <v>98</v>
      </c>
      <c r="CO18" s="14">
        <f>'[1]4Q'!$G16</f>
        <v>99</v>
      </c>
      <c r="CP18" s="57">
        <f>[1]Q!$G16</f>
        <v>97</v>
      </c>
      <c r="CQ18" s="58">
        <f>'[1]4Q'!CN11</f>
        <v>0</v>
      </c>
      <c r="CR18" s="59" t="str">
        <f t="shared" si="5"/>
        <v>PASSED</v>
      </c>
      <c r="CS18" s="59"/>
      <c r="CW18" s="60" t="str">
        <f>[1]SUMMARY!$Z$1&amp;" "&amp;[1]SUMMARY!$AD$1</f>
        <v>Araling Panlipunan  4</v>
      </c>
      <c r="CX18" s="61"/>
      <c r="CY18" s="61"/>
      <c r="CZ18" s="61"/>
      <c r="DA18" s="62"/>
      <c r="DB18" s="14">
        <f>'[1]1Q'!$G17</f>
        <v>98</v>
      </c>
      <c r="DC18" s="14">
        <f>'[1]2Q'!$G17</f>
        <v>96</v>
      </c>
      <c r="DD18" s="14">
        <f>'[1]3Q'!$G17</f>
        <v>96</v>
      </c>
      <c r="DE18" s="14">
        <f>'[1]4Q'!$G17</f>
        <v>97</v>
      </c>
      <c r="DF18" s="57">
        <f>[1]Q!$G17</f>
        <v>97</v>
      </c>
      <c r="DG18" s="58">
        <f>'[1]4Q'!DD11</f>
        <v>0</v>
      </c>
      <c r="DH18" s="59" t="str">
        <f t="shared" si="6"/>
        <v>PASSED</v>
      </c>
      <c r="DI18" s="59"/>
      <c r="DN18" s="60" t="str">
        <f>[1]SUMMARY!$Z$1&amp;" "&amp;[1]SUMMARY!$AD$1</f>
        <v>Araling Panlipunan  4</v>
      </c>
      <c r="DO18" s="61"/>
      <c r="DP18" s="61"/>
      <c r="DQ18" s="61"/>
      <c r="DR18" s="62"/>
      <c r="DS18" s="14">
        <f>'[1]1Q'!$G18</f>
        <v>92</v>
      </c>
      <c r="DT18" s="14">
        <f>'[1]2Q'!$G18</f>
        <v>91</v>
      </c>
      <c r="DU18" s="14">
        <f>'[1]3Q'!$G18</f>
        <v>93</v>
      </c>
      <c r="DV18" s="14">
        <f>'[1]4Q'!$G18</f>
        <v>96</v>
      </c>
      <c r="DW18" s="57">
        <f>[1]Q!$G18</f>
        <v>93</v>
      </c>
      <c r="DX18" s="58">
        <f>'[1]4Q'!DU11</f>
        <v>0</v>
      </c>
      <c r="DY18" s="59" t="str">
        <f t="shared" si="7"/>
        <v>PASSED</v>
      </c>
      <c r="DZ18" s="59"/>
      <c r="ED18" s="60" t="str">
        <f>[1]SUMMARY!$Z$1&amp;" "&amp;[1]SUMMARY!$AD$1</f>
        <v>Araling Panlipunan  4</v>
      </c>
      <c r="EE18" s="61"/>
      <c r="EF18" s="61"/>
      <c r="EG18" s="61"/>
      <c r="EH18" s="62"/>
      <c r="EI18" s="14">
        <f>'[1]1Q'!$G19</f>
        <v>90</v>
      </c>
      <c r="EJ18" s="14">
        <f>'[1]2Q'!$G19</f>
        <v>87</v>
      </c>
      <c r="EK18" s="14">
        <f>'[1]3Q'!$G19</f>
        <v>91</v>
      </c>
      <c r="EL18" s="14">
        <f>'[1]4Q'!$G19</f>
        <v>97</v>
      </c>
      <c r="EM18" s="57">
        <f>[1]Q!$G19</f>
        <v>91</v>
      </c>
      <c r="EN18" s="58">
        <f>'[1]4Q'!EK11</f>
        <v>0</v>
      </c>
      <c r="EO18" s="59" t="str">
        <f t="shared" si="8"/>
        <v>PASSED</v>
      </c>
      <c r="EP18" s="59"/>
      <c r="EU18" s="60" t="str">
        <f>[1]SUMMARY!$Z$1&amp;" "&amp;[1]SUMMARY!$AD$1</f>
        <v>Araling Panlipunan  4</v>
      </c>
      <c r="EV18" s="61"/>
      <c r="EW18" s="61"/>
      <c r="EX18" s="61"/>
      <c r="EY18" s="62"/>
      <c r="EZ18" s="14">
        <f>'[1]1Q'!$G20</f>
        <v>95</v>
      </c>
      <c r="FA18" s="14">
        <f>'[1]2Q'!$G20</f>
        <v>95</v>
      </c>
      <c r="FB18" s="14">
        <f>'[1]3Q'!$G20</f>
        <v>99</v>
      </c>
      <c r="FC18" s="14">
        <f>'[1]4Q'!$G20</f>
        <v>98</v>
      </c>
      <c r="FD18" s="57">
        <f>[1]Q!$G20</f>
        <v>97</v>
      </c>
      <c r="FE18" s="58">
        <f>'[1]4Q'!FB11</f>
        <v>0</v>
      </c>
      <c r="FF18" s="59" t="str">
        <f t="shared" si="9"/>
        <v>PASSED</v>
      </c>
      <c r="FG18" s="59"/>
      <c r="FK18" s="60" t="str">
        <f>[1]SUMMARY!$Z$1&amp;" "&amp;[1]SUMMARY!$AD$1</f>
        <v>Araling Panlipunan  4</v>
      </c>
      <c r="FL18" s="61"/>
      <c r="FM18" s="61"/>
      <c r="FN18" s="61"/>
      <c r="FO18" s="62"/>
      <c r="FP18" s="14">
        <f>'[1]1Q'!$G21</f>
        <v>94</v>
      </c>
      <c r="FQ18" s="14">
        <f>'[1]2Q'!$G21</f>
        <v>87</v>
      </c>
      <c r="FR18" s="14">
        <f>'[1]3Q'!$G21</f>
        <v>95</v>
      </c>
      <c r="FS18" s="14">
        <f>'[1]4Q'!$G21</f>
        <v>98</v>
      </c>
      <c r="FT18" s="57">
        <f>[1]Q!$G21</f>
        <v>94</v>
      </c>
      <c r="FU18" s="58">
        <f>'[1]4Q'!FR11</f>
        <v>0</v>
      </c>
      <c r="FV18" s="59" t="str">
        <f t="shared" si="10"/>
        <v>PASSED</v>
      </c>
      <c r="FW18" s="59"/>
      <c r="GB18" s="60" t="str">
        <f>[1]SUMMARY!$Z$1&amp;" "&amp;[1]SUMMARY!$AD$1</f>
        <v>Araling Panlipunan  4</v>
      </c>
      <c r="GC18" s="61"/>
      <c r="GD18" s="61"/>
      <c r="GE18" s="61"/>
      <c r="GF18" s="62"/>
      <c r="GG18" s="14">
        <f>'[1]1Q'!$G22</f>
        <v>97</v>
      </c>
      <c r="GH18" s="14">
        <f>'[1]2Q'!$G22</f>
        <v>96</v>
      </c>
      <c r="GI18" s="14">
        <f>'[1]3Q'!$G22</f>
        <v>99</v>
      </c>
      <c r="GJ18" s="14">
        <f>'[1]4Q'!$G22</f>
        <v>99</v>
      </c>
      <c r="GK18" s="57">
        <f>[1]Q!$G22</f>
        <v>98</v>
      </c>
      <c r="GL18" s="58">
        <f>'[1]4Q'!GI11</f>
        <v>0</v>
      </c>
      <c r="GM18" s="59" t="str">
        <f t="shared" si="11"/>
        <v>PASSED</v>
      </c>
      <c r="GN18" s="59"/>
      <c r="GR18" s="60" t="str">
        <f>[1]SUMMARY!$Z$1&amp;" "&amp;[1]SUMMARY!$AD$1</f>
        <v>Araling Panlipunan  4</v>
      </c>
      <c r="GS18" s="61"/>
      <c r="GT18" s="61"/>
      <c r="GU18" s="61"/>
      <c r="GV18" s="62"/>
      <c r="GW18" s="14">
        <f>'[1]1Q'!$G23</f>
        <v>92</v>
      </c>
      <c r="GX18" s="14">
        <f>'[1]2Q'!$G23</f>
        <v>89</v>
      </c>
      <c r="GY18" s="14">
        <f>'[1]3Q'!$G23</f>
        <v>96</v>
      </c>
      <c r="GZ18" s="14">
        <f>'[1]4Q'!$G23</f>
        <v>97</v>
      </c>
      <c r="HA18" s="57">
        <f>[1]Q!$G23</f>
        <v>94</v>
      </c>
      <c r="HB18" s="58">
        <f>'[1]4Q'!GY11</f>
        <v>0</v>
      </c>
      <c r="HC18" s="59" t="str">
        <f t="shared" si="12"/>
        <v>PASSED</v>
      </c>
      <c r="HD18" s="59"/>
      <c r="HI18" s="60" t="str">
        <f>[1]SUMMARY!$Z$1&amp;" "&amp;[1]SUMMARY!$AD$1</f>
        <v>Araling Panlipunan  4</v>
      </c>
      <c r="HJ18" s="61"/>
      <c r="HK18" s="61"/>
      <c r="HL18" s="61"/>
      <c r="HM18" s="62"/>
      <c r="HN18" s="14">
        <f>'[1]1Q'!$G24</f>
        <v>97</v>
      </c>
      <c r="HO18" s="14">
        <f>'[1]2Q'!$G24</f>
        <v>98</v>
      </c>
      <c r="HP18" s="14">
        <f>'[1]3Q'!$G24</f>
        <v>97</v>
      </c>
      <c r="HQ18" s="14">
        <f>'[1]4Q'!$G24</f>
        <v>99</v>
      </c>
      <c r="HR18" s="57">
        <f>[1]Q!$G24</f>
        <v>98</v>
      </c>
      <c r="HS18" s="58">
        <f>'[1]4Q'!HP11</f>
        <v>0</v>
      </c>
      <c r="HT18" s="59" t="str">
        <f t="shared" si="13"/>
        <v>PASSED</v>
      </c>
      <c r="HU18" s="59"/>
      <c r="HY18" s="60" t="str">
        <f>[1]SUMMARY!$Z$1&amp;" "&amp;[1]SUMMARY!$AD$1</f>
        <v>Araling Panlipunan  4</v>
      </c>
      <c r="HZ18" s="61"/>
      <c r="IA18" s="61"/>
      <c r="IB18" s="61"/>
      <c r="IC18" s="62"/>
      <c r="ID18" s="14">
        <f>'[1]1Q'!$G25</f>
        <v>90</v>
      </c>
      <c r="IE18" s="14">
        <f>'[1]2Q'!$G25</f>
        <v>94</v>
      </c>
      <c r="IF18" s="14">
        <f>'[1]3Q'!$G25</f>
        <v>95</v>
      </c>
      <c r="IG18" s="14">
        <f>'[1]4Q'!$G25</f>
        <v>98</v>
      </c>
      <c r="IH18" s="57">
        <f>[1]Q!$G25</f>
        <v>94</v>
      </c>
      <c r="II18" s="58">
        <f>'[1]4Q'!IF11</f>
        <v>0</v>
      </c>
      <c r="IJ18" s="59" t="str">
        <f t="shared" si="14"/>
        <v>PASSED</v>
      </c>
      <c r="IK18" s="59"/>
      <c r="IP18" s="60" t="str">
        <f>[1]SUMMARY!$Z$1&amp;" "&amp;[1]SUMMARY!$AD$1</f>
        <v>Araling Panlipunan  4</v>
      </c>
      <c r="IQ18" s="61"/>
      <c r="IR18" s="61"/>
      <c r="IS18" s="61"/>
      <c r="IT18" s="62"/>
      <c r="IU18" s="14">
        <f>'[1]1Q'!$G26</f>
        <v>96</v>
      </c>
      <c r="IV18" s="14">
        <f>'[1]2Q'!$G26</f>
        <v>96</v>
      </c>
      <c r="IW18" s="14">
        <f>'[1]3Q'!$G26</f>
        <v>99</v>
      </c>
      <c r="IX18" s="14">
        <f>'[1]4Q'!$G26</f>
        <v>98</v>
      </c>
      <c r="IY18" s="57">
        <f>[1]Q!$G26</f>
        <v>97</v>
      </c>
      <c r="IZ18" s="58">
        <f>'[1]4Q'!IW11</f>
        <v>0</v>
      </c>
      <c r="JA18" s="59" t="str">
        <f t="shared" si="15"/>
        <v>PASSED</v>
      </c>
      <c r="JB18" s="59"/>
      <c r="JF18" s="60" t="str">
        <f>[1]SUMMARY!$Z$1&amp;" "&amp;[1]SUMMARY!$AD$1</f>
        <v>Araling Panlipunan  4</v>
      </c>
      <c r="JG18" s="61"/>
      <c r="JH18" s="61"/>
      <c r="JI18" s="61"/>
      <c r="JJ18" s="62"/>
      <c r="JK18" s="14">
        <f>'[1]1Q'!$G27</f>
        <v>96</v>
      </c>
      <c r="JL18" s="14">
        <f>'[1]2Q'!$G27</f>
        <v>96</v>
      </c>
      <c r="JM18" s="14">
        <f>'[1]3Q'!$G27</f>
        <v>96</v>
      </c>
      <c r="JN18" s="14">
        <f>'[1]4Q'!$G27</f>
        <v>97</v>
      </c>
      <c r="JO18" s="57">
        <f>[1]Q!$G27</f>
        <v>96</v>
      </c>
      <c r="JP18" s="58">
        <f>'[1]4Q'!JM11</f>
        <v>0</v>
      </c>
      <c r="JQ18" s="59" t="str">
        <f t="shared" si="16"/>
        <v>PASSED</v>
      </c>
      <c r="JR18" s="59"/>
      <c r="JS18" s="12"/>
      <c r="JW18" s="60" t="str">
        <f>[1]SUMMARY!$Z$1&amp;" "&amp;[1]SUMMARY!$AD$1</f>
        <v>Araling Panlipunan  4</v>
      </c>
      <c r="JX18" s="61"/>
      <c r="JY18" s="61"/>
      <c r="JZ18" s="61"/>
      <c r="KA18" s="62"/>
      <c r="KB18" s="14">
        <f>'[1]1Q'!$G28</f>
        <v>90</v>
      </c>
      <c r="KC18" s="14">
        <f>'[1]2Q'!$G28</f>
        <v>95</v>
      </c>
      <c r="KD18" s="14">
        <f>'[1]3Q'!$G28</f>
        <v>95</v>
      </c>
      <c r="KE18" s="14">
        <f>'[1]4Q'!$G28</f>
        <v>94</v>
      </c>
      <c r="KF18" s="57">
        <f>[1]Q!$G28</f>
        <v>94</v>
      </c>
      <c r="KG18" s="58">
        <f>'[1]4Q'!KD11</f>
        <v>0</v>
      </c>
      <c r="KH18" s="59" t="str">
        <f t="shared" si="17"/>
        <v>PASSED</v>
      </c>
      <c r="KI18" s="59"/>
      <c r="KJ18" s="15"/>
      <c r="KM18" s="60" t="str">
        <f>[1]SUMMARY!$Z$1&amp;" "&amp;[1]SUMMARY!$AD$1</f>
        <v>Araling Panlipunan  4</v>
      </c>
      <c r="KN18" s="61"/>
      <c r="KO18" s="61"/>
      <c r="KP18" s="61"/>
      <c r="KQ18" s="62"/>
      <c r="KR18" s="14">
        <f>'[1]1Q'!$G29</f>
        <v>91</v>
      </c>
      <c r="KS18" s="14">
        <f>'[1]2Q'!$G29</f>
        <v>92</v>
      </c>
      <c r="KT18" s="14">
        <f>'[1]3Q'!$G29</f>
        <v>90</v>
      </c>
      <c r="KU18" s="14">
        <f>'[1]4Q'!$G29</f>
        <v>97</v>
      </c>
      <c r="KV18" s="57">
        <f>[1]Q!$G29</f>
        <v>93</v>
      </c>
      <c r="KW18" s="58"/>
      <c r="KX18" s="59" t="str">
        <f t="shared" si="18"/>
        <v>PASSED</v>
      </c>
      <c r="KY18" s="59"/>
      <c r="KZ18" s="15"/>
      <c r="LD18" s="60" t="str">
        <f>[1]SUMMARY!$Z$1&amp;" "&amp;[1]SUMMARY!$AD$1</f>
        <v>Araling Panlipunan  4</v>
      </c>
      <c r="LE18" s="61"/>
      <c r="LF18" s="61"/>
      <c r="LG18" s="61"/>
      <c r="LH18" s="62"/>
      <c r="LI18" s="14">
        <f>'[1]1Q'!$G30</f>
        <v>96</v>
      </c>
      <c r="LJ18" s="14">
        <f>'[1]2Q'!$G30</f>
        <v>97</v>
      </c>
      <c r="LK18" s="14">
        <f>'[1]3Q'!$G30</f>
        <v>99</v>
      </c>
      <c r="LL18" s="14">
        <f>'[1]4Q'!$G30</f>
        <v>99</v>
      </c>
      <c r="LM18" s="57">
        <f>[1]Q!$G30</f>
        <v>98</v>
      </c>
      <c r="LN18" s="58">
        <f>'[1]4Q'!LK11</f>
        <v>0</v>
      </c>
      <c r="LO18" s="59" t="str">
        <f t="shared" si="19"/>
        <v>PASSED</v>
      </c>
      <c r="LP18" s="59"/>
    </row>
    <row r="19" spans="1:330" s="9" customFormat="1" ht="19.05" customHeight="1" x14ac:dyDescent="0.3">
      <c r="B19" s="54" t="str">
        <f>[1]SUMMARY!$AE$1&amp;" "&amp;[1]SUMMARY!$AI$1</f>
        <v>Technology and Livelihood Education 4</v>
      </c>
      <c r="C19" s="55"/>
      <c r="D19" s="55"/>
      <c r="E19" s="55"/>
      <c r="F19" s="56"/>
      <c r="G19" s="14">
        <f>'[1]1Q'!$H11</f>
        <v>80</v>
      </c>
      <c r="H19" s="14">
        <f>'[1]2Q'!$H11</f>
        <v>84</v>
      </c>
      <c r="I19" s="14">
        <f>'[1]3Q'!$H11</f>
        <v>90</v>
      </c>
      <c r="J19" s="14">
        <f>'[1]4Q'!$H11</f>
        <v>98</v>
      </c>
      <c r="K19" s="57">
        <f>[1]Q!$H11</f>
        <v>88</v>
      </c>
      <c r="L19" s="58">
        <f>'[1]4Q'!M11</f>
        <v>94.9</v>
      </c>
      <c r="M19" s="59" t="str">
        <f t="shared" si="0"/>
        <v>PASSED</v>
      </c>
      <c r="N19" s="59"/>
      <c r="S19" s="54" t="str">
        <f>[1]SUMMARY!$AE$1&amp;" "&amp;[1]SUMMARY!$AI$1</f>
        <v>Technology and Livelihood Education 4</v>
      </c>
      <c r="T19" s="55"/>
      <c r="U19" s="55"/>
      <c r="V19" s="55"/>
      <c r="W19" s="56"/>
      <c r="X19" s="14">
        <f>'[1]1Q'!$H12</f>
        <v>82</v>
      </c>
      <c r="Y19" s="14">
        <f>'[1]2Q'!$H12</f>
        <v>80</v>
      </c>
      <c r="Z19" s="14">
        <f>'[1]3Q'!$H12</f>
        <v>84</v>
      </c>
      <c r="AA19" s="14">
        <f>'[1]4Q'!$H12</f>
        <v>95</v>
      </c>
      <c r="AB19" s="57">
        <f>[1]Q!$H12</f>
        <v>85</v>
      </c>
      <c r="AC19" s="58">
        <f>'[1]4Q'!AA11</f>
        <v>0</v>
      </c>
      <c r="AD19" s="59" t="str">
        <f t="shared" si="1"/>
        <v>PASSED</v>
      </c>
      <c r="AE19" s="59"/>
      <c r="AI19" s="54" t="str">
        <f>[1]SUMMARY!$AE$1&amp;" "&amp;[1]SUMMARY!$AI$1</f>
        <v>Technology and Livelihood Education 4</v>
      </c>
      <c r="AJ19" s="55"/>
      <c r="AK19" s="55"/>
      <c r="AL19" s="55"/>
      <c r="AM19" s="56"/>
      <c r="AN19" s="14">
        <f>'[1]1Q'!$H13</f>
        <v>96</v>
      </c>
      <c r="AO19" s="14">
        <f>'[1]2Q'!$H13</f>
        <v>91</v>
      </c>
      <c r="AP19" s="14">
        <f>'[1]3Q'!$H13</f>
        <v>97</v>
      </c>
      <c r="AQ19" s="14">
        <f>'[1]4Q'!$H13</f>
        <v>98</v>
      </c>
      <c r="AR19" s="57">
        <f>[1]Q!$H13</f>
        <v>96</v>
      </c>
      <c r="AS19" s="58">
        <f>'[1]4Q'!AQ11</f>
        <v>0</v>
      </c>
      <c r="AT19" s="59" t="str">
        <f t="shared" si="2"/>
        <v>PASSED</v>
      </c>
      <c r="AU19" s="59"/>
      <c r="AZ19" s="54" t="str">
        <f>[1]SUMMARY!$AE$1&amp;" "&amp;[1]SUMMARY!$AI$1</f>
        <v>Technology and Livelihood Education 4</v>
      </c>
      <c r="BA19" s="55"/>
      <c r="BB19" s="55"/>
      <c r="BC19" s="55"/>
      <c r="BD19" s="56"/>
      <c r="BE19" s="14">
        <f>'[1]1Q'!$H14</f>
        <v>93</v>
      </c>
      <c r="BF19" s="14">
        <f>'[1]2Q'!$H14</f>
        <v>87</v>
      </c>
      <c r="BG19" s="14">
        <f>'[1]3Q'!$H14</f>
        <v>87</v>
      </c>
      <c r="BH19" s="14">
        <f>'[1]4Q'!$H14</f>
        <v>98</v>
      </c>
      <c r="BI19" s="57">
        <f>[1]Q!$H14</f>
        <v>91</v>
      </c>
      <c r="BJ19" s="58">
        <f>'[1]4Q'!BH11</f>
        <v>0</v>
      </c>
      <c r="BK19" s="59" t="str">
        <f t="shared" si="3"/>
        <v>PASSED</v>
      </c>
      <c r="BL19" s="59"/>
      <c r="BP19" s="54" t="str">
        <f>[1]SUMMARY!$AE$1&amp;" "&amp;[1]SUMMARY!$AI$1</f>
        <v>Technology and Livelihood Education 4</v>
      </c>
      <c r="BQ19" s="55"/>
      <c r="BR19" s="55"/>
      <c r="BS19" s="55"/>
      <c r="BT19" s="56"/>
      <c r="BU19" s="14">
        <f>'[1]1Q'!$H15</f>
        <v>94</v>
      </c>
      <c r="BV19" s="14">
        <f>'[1]2Q'!$H15</f>
        <v>87</v>
      </c>
      <c r="BW19" s="14">
        <f>'[1]3Q'!$H15</f>
        <v>95</v>
      </c>
      <c r="BX19" s="14">
        <f>'[1]4Q'!$H15</f>
        <v>98</v>
      </c>
      <c r="BY19" s="57">
        <f>[1]Q!$H15</f>
        <v>94</v>
      </c>
      <c r="BZ19" s="58">
        <f>'[1]4Q'!BX11</f>
        <v>0</v>
      </c>
      <c r="CA19" s="59" t="str">
        <f t="shared" si="4"/>
        <v>PASSED</v>
      </c>
      <c r="CB19" s="59"/>
      <c r="CG19" s="54" t="str">
        <f>[1]SUMMARY!$AE$1&amp;" "&amp;[1]SUMMARY!$AI$1</f>
        <v>Technology and Livelihood Education 4</v>
      </c>
      <c r="CH19" s="55"/>
      <c r="CI19" s="55"/>
      <c r="CJ19" s="55"/>
      <c r="CK19" s="56"/>
      <c r="CL19" s="14">
        <f>'[1]1Q'!$H16</f>
        <v>95</v>
      </c>
      <c r="CM19" s="14">
        <f>'[1]2Q'!$H16</f>
        <v>88</v>
      </c>
      <c r="CN19" s="14">
        <f>'[1]3Q'!$H16</f>
        <v>94</v>
      </c>
      <c r="CO19" s="14">
        <f>'[1]4Q'!$H16</f>
        <v>96</v>
      </c>
      <c r="CP19" s="57">
        <f>[1]Q!$H16</f>
        <v>93</v>
      </c>
      <c r="CQ19" s="58">
        <f>'[1]4Q'!CO11</f>
        <v>0</v>
      </c>
      <c r="CR19" s="59" t="str">
        <f t="shared" si="5"/>
        <v>PASSED</v>
      </c>
      <c r="CS19" s="59"/>
      <c r="CW19" s="54" t="str">
        <f>[1]SUMMARY!$AE$1&amp;" "&amp;[1]SUMMARY!$AI$1</f>
        <v>Technology and Livelihood Education 4</v>
      </c>
      <c r="CX19" s="55"/>
      <c r="CY19" s="55"/>
      <c r="CZ19" s="55"/>
      <c r="DA19" s="56"/>
      <c r="DB19" s="14">
        <f>'[1]1Q'!$H17</f>
        <v>93</v>
      </c>
      <c r="DC19" s="14">
        <f>'[1]2Q'!$H17</f>
        <v>88</v>
      </c>
      <c r="DD19" s="14">
        <f>'[1]3Q'!$H17</f>
        <v>95</v>
      </c>
      <c r="DE19" s="14">
        <f>'[1]4Q'!$H17</f>
        <v>96</v>
      </c>
      <c r="DF19" s="57">
        <f>[1]Q!$H17</f>
        <v>93</v>
      </c>
      <c r="DG19" s="58">
        <f>'[1]4Q'!DE11</f>
        <v>0</v>
      </c>
      <c r="DH19" s="59" t="str">
        <f t="shared" si="6"/>
        <v>PASSED</v>
      </c>
      <c r="DI19" s="59"/>
      <c r="DN19" s="54" t="str">
        <f>[1]SUMMARY!$AE$1&amp;" "&amp;[1]SUMMARY!$AI$1</f>
        <v>Technology and Livelihood Education 4</v>
      </c>
      <c r="DO19" s="55"/>
      <c r="DP19" s="55"/>
      <c r="DQ19" s="55"/>
      <c r="DR19" s="56"/>
      <c r="DS19" s="14">
        <f>'[1]1Q'!$H18</f>
        <v>84</v>
      </c>
      <c r="DT19" s="14">
        <f>'[1]2Q'!$H18</f>
        <v>86</v>
      </c>
      <c r="DU19" s="14">
        <f>'[1]3Q'!$H18</f>
        <v>87</v>
      </c>
      <c r="DV19" s="14">
        <f>'[1]4Q'!$H18</f>
        <v>95</v>
      </c>
      <c r="DW19" s="57">
        <f>[1]Q!$H18</f>
        <v>88</v>
      </c>
      <c r="DX19" s="58">
        <f>'[1]4Q'!DV11</f>
        <v>0</v>
      </c>
      <c r="DY19" s="59" t="str">
        <f t="shared" si="7"/>
        <v>PASSED</v>
      </c>
      <c r="DZ19" s="59"/>
      <c r="ED19" s="54" t="str">
        <f>[1]SUMMARY!$AE$1&amp;" "&amp;[1]SUMMARY!$AI$1</f>
        <v>Technology and Livelihood Education 4</v>
      </c>
      <c r="EE19" s="55"/>
      <c r="EF19" s="55"/>
      <c r="EG19" s="55"/>
      <c r="EH19" s="56"/>
      <c r="EI19" s="14">
        <f>'[1]1Q'!$H19</f>
        <v>80</v>
      </c>
      <c r="EJ19" s="14">
        <f>'[1]2Q'!$H19</f>
        <v>85</v>
      </c>
      <c r="EK19" s="14">
        <f>'[1]3Q'!$H19</f>
        <v>87</v>
      </c>
      <c r="EL19" s="14">
        <f>'[1]4Q'!$H19</f>
        <v>98</v>
      </c>
      <c r="EM19" s="57">
        <f>[1]Q!$H19</f>
        <v>88</v>
      </c>
      <c r="EN19" s="58">
        <f>'[1]4Q'!EL11</f>
        <v>0</v>
      </c>
      <c r="EO19" s="59" t="str">
        <f t="shared" si="8"/>
        <v>PASSED</v>
      </c>
      <c r="EP19" s="59"/>
      <c r="EU19" s="54" t="str">
        <f>[1]SUMMARY!$AE$1&amp;" "&amp;[1]SUMMARY!$AI$1</f>
        <v>Technology and Livelihood Education 4</v>
      </c>
      <c r="EV19" s="55"/>
      <c r="EW19" s="55"/>
      <c r="EX19" s="55"/>
      <c r="EY19" s="56"/>
      <c r="EZ19" s="14">
        <f>'[1]1Q'!$H20</f>
        <v>96</v>
      </c>
      <c r="FA19" s="14">
        <f>'[1]2Q'!$H20</f>
        <v>88</v>
      </c>
      <c r="FB19" s="14">
        <f>'[1]3Q'!$H20</f>
        <v>90</v>
      </c>
      <c r="FC19" s="14">
        <f>'[1]4Q'!$H20</f>
        <v>96</v>
      </c>
      <c r="FD19" s="57">
        <f>[1]Q!$H20</f>
        <v>93</v>
      </c>
      <c r="FE19" s="58">
        <f>'[1]4Q'!FC11</f>
        <v>0</v>
      </c>
      <c r="FF19" s="59" t="str">
        <f t="shared" si="9"/>
        <v>PASSED</v>
      </c>
      <c r="FG19" s="59"/>
      <c r="FK19" s="54" t="str">
        <f>[1]SUMMARY!$AE$1&amp;" "&amp;[1]SUMMARY!$AI$1</f>
        <v>Technology and Livelihood Education 4</v>
      </c>
      <c r="FL19" s="55"/>
      <c r="FM19" s="55"/>
      <c r="FN19" s="55"/>
      <c r="FO19" s="56"/>
      <c r="FP19" s="14">
        <f>'[1]1Q'!$H21</f>
        <v>85</v>
      </c>
      <c r="FQ19" s="14">
        <f>'[1]2Q'!$H21</f>
        <v>84</v>
      </c>
      <c r="FR19" s="14">
        <f>'[1]3Q'!$H21</f>
        <v>87</v>
      </c>
      <c r="FS19" s="14">
        <f>'[1]4Q'!$H21</f>
        <v>96</v>
      </c>
      <c r="FT19" s="57">
        <f>[1]Q!$H21</f>
        <v>88</v>
      </c>
      <c r="FU19" s="58">
        <f>'[1]4Q'!FS11</f>
        <v>0</v>
      </c>
      <c r="FV19" s="59" t="str">
        <f t="shared" si="10"/>
        <v>PASSED</v>
      </c>
      <c r="FW19" s="59"/>
      <c r="GB19" s="54" t="str">
        <f>[1]SUMMARY!$AE$1&amp;" "&amp;[1]SUMMARY!$AI$1</f>
        <v>Technology and Livelihood Education 4</v>
      </c>
      <c r="GC19" s="55"/>
      <c r="GD19" s="55"/>
      <c r="GE19" s="55"/>
      <c r="GF19" s="56"/>
      <c r="GG19" s="14">
        <f>'[1]1Q'!$H22</f>
        <v>95</v>
      </c>
      <c r="GH19" s="14">
        <f>'[1]2Q'!$H22</f>
        <v>90</v>
      </c>
      <c r="GI19" s="14">
        <f>'[1]3Q'!$H22</f>
        <v>93</v>
      </c>
      <c r="GJ19" s="14">
        <f>'[1]4Q'!$H22</f>
        <v>96</v>
      </c>
      <c r="GK19" s="57">
        <f>[1]Q!$H22</f>
        <v>94</v>
      </c>
      <c r="GL19" s="58">
        <f>'[1]4Q'!GJ11</f>
        <v>0</v>
      </c>
      <c r="GM19" s="59" t="str">
        <f t="shared" si="11"/>
        <v>PASSED</v>
      </c>
      <c r="GN19" s="59"/>
      <c r="GR19" s="54" t="str">
        <f>[1]SUMMARY!$AE$1&amp;" "&amp;[1]SUMMARY!$AI$1</f>
        <v>Technology and Livelihood Education 4</v>
      </c>
      <c r="GS19" s="55"/>
      <c r="GT19" s="55"/>
      <c r="GU19" s="55"/>
      <c r="GV19" s="56"/>
      <c r="GW19" s="14">
        <f>'[1]1Q'!$H23</f>
        <v>88</v>
      </c>
      <c r="GX19" s="14">
        <f>'[1]2Q'!$H23</f>
        <v>88</v>
      </c>
      <c r="GY19" s="14">
        <f>'[1]3Q'!$H23</f>
        <v>88</v>
      </c>
      <c r="GZ19" s="14">
        <f>'[1]4Q'!$H23</f>
        <v>98</v>
      </c>
      <c r="HA19" s="57">
        <f>[1]Q!$H23</f>
        <v>91</v>
      </c>
      <c r="HB19" s="58">
        <f>'[1]4Q'!GZ11</f>
        <v>0</v>
      </c>
      <c r="HC19" s="59" t="str">
        <f t="shared" si="12"/>
        <v>PASSED</v>
      </c>
      <c r="HD19" s="59"/>
      <c r="HI19" s="54" t="str">
        <f>[1]SUMMARY!$AE$1&amp;" "&amp;[1]SUMMARY!$AI$1</f>
        <v>Technology and Livelihood Education 4</v>
      </c>
      <c r="HJ19" s="55"/>
      <c r="HK19" s="55"/>
      <c r="HL19" s="55"/>
      <c r="HM19" s="56"/>
      <c r="HN19" s="14">
        <f>'[1]1Q'!$H24</f>
        <v>92</v>
      </c>
      <c r="HO19" s="14">
        <f>'[1]2Q'!$H24</f>
        <v>88</v>
      </c>
      <c r="HP19" s="14">
        <f>'[1]3Q'!$H24</f>
        <v>89</v>
      </c>
      <c r="HQ19" s="14">
        <f>'[1]4Q'!$H24</f>
        <v>98</v>
      </c>
      <c r="HR19" s="57">
        <f>[1]Q!$H24</f>
        <v>92</v>
      </c>
      <c r="HS19" s="58">
        <f>'[1]4Q'!HQ11</f>
        <v>0</v>
      </c>
      <c r="HT19" s="59" t="str">
        <f t="shared" si="13"/>
        <v>PASSED</v>
      </c>
      <c r="HU19" s="59"/>
      <c r="HY19" s="54" t="str">
        <f>[1]SUMMARY!$AE$1&amp;" "&amp;[1]SUMMARY!$AI$1</f>
        <v>Technology and Livelihood Education 4</v>
      </c>
      <c r="HZ19" s="55"/>
      <c r="IA19" s="55"/>
      <c r="IB19" s="55"/>
      <c r="IC19" s="56"/>
      <c r="ID19" s="14">
        <f>'[1]1Q'!$H25</f>
        <v>90</v>
      </c>
      <c r="IE19" s="14">
        <f>'[1]2Q'!$H25</f>
        <v>85</v>
      </c>
      <c r="IF19" s="14">
        <f>'[1]3Q'!$H25</f>
        <v>89</v>
      </c>
      <c r="IG19" s="14">
        <f>'[1]4Q'!$H25</f>
        <v>95</v>
      </c>
      <c r="IH19" s="57">
        <f>[1]Q!$H25</f>
        <v>90</v>
      </c>
      <c r="II19" s="58">
        <f>'[1]4Q'!IG11</f>
        <v>0</v>
      </c>
      <c r="IJ19" s="59" t="str">
        <f t="shared" si="14"/>
        <v>PASSED</v>
      </c>
      <c r="IK19" s="59"/>
      <c r="IP19" s="54" t="str">
        <f>[1]SUMMARY!$AE$1&amp;" "&amp;[1]SUMMARY!$AI$1</f>
        <v>Technology and Livelihood Education 4</v>
      </c>
      <c r="IQ19" s="55"/>
      <c r="IR19" s="55"/>
      <c r="IS19" s="55"/>
      <c r="IT19" s="56"/>
      <c r="IU19" s="14">
        <f>'[1]1Q'!$H26</f>
        <v>92</v>
      </c>
      <c r="IV19" s="14">
        <f>'[1]2Q'!$H26</f>
        <v>85</v>
      </c>
      <c r="IW19" s="14">
        <f>'[1]3Q'!$H26</f>
        <v>90</v>
      </c>
      <c r="IX19" s="14">
        <f>'[1]4Q'!$H26</f>
        <v>98</v>
      </c>
      <c r="IY19" s="57">
        <f>[1]Q!$H26</f>
        <v>91</v>
      </c>
      <c r="IZ19" s="58">
        <f>'[1]4Q'!IX11</f>
        <v>0</v>
      </c>
      <c r="JA19" s="59" t="str">
        <f t="shared" si="15"/>
        <v>PASSED</v>
      </c>
      <c r="JB19" s="59"/>
      <c r="JF19" s="54" t="str">
        <f>[1]SUMMARY!$AE$1&amp;" "&amp;[1]SUMMARY!$AI$1</f>
        <v>Technology and Livelihood Education 4</v>
      </c>
      <c r="JG19" s="55"/>
      <c r="JH19" s="55"/>
      <c r="JI19" s="55"/>
      <c r="JJ19" s="56"/>
      <c r="JK19" s="14">
        <f>'[1]1Q'!$H27</f>
        <v>93</v>
      </c>
      <c r="JL19" s="14">
        <f>'[1]2Q'!$H27</f>
        <v>88</v>
      </c>
      <c r="JM19" s="14">
        <f>'[1]3Q'!$H27</f>
        <v>92</v>
      </c>
      <c r="JN19" s="14">
        <f>'[1]4Q'!$H27</f>
        <v>98</v>
      </c>
      <c r="JO19" s="57">
        <f>[1]Q!$H27</f>
        <v>93</v>
      </c>
      <c r="JP19" s="58">
        <f>'[1]4Q'!JN11</f>
        <v>0</v>
      </c>
      <c r="JQ19" s="59" t="str">
        <f t="shared" si="16"/>
        <v>PASSED</v>
      </c>
      <c r="JR19" s="59"/>
      <c r="JS19" s="12"/>
      <c r="JW19" s="54" t="str">
        <f>[1]SUMMARY!$AE$1&amp;" "&amp;[1]SUMMARY!$AI$1</f>
        <v>Technology and Livelihood Education 4</v>
      </c>
      <c r="JX19" s="55"/>
      <c r="JY19" s="55"/>
      <c r="JZ19" s="55"/>
      <c r="KA19" s="56"/>
      <c r="KB19" s="14">
        <f>'[1]1Q'!$H28</f>
        <v>92</v>
      </c>
      <c r="KC19" s="14">
        <f>'[1]2Q'!$H28</f>
        <v>87</v>
      </c>
      <c r="KD19" s="14">
        <f>'[1]3Q'!$H28</f>
        <v>92</v>
      </c>
      <c r="KE19" s="14">
        <f>'[1]4Q'!$H28</f>
        <v>95</v>
      </c>
      <c r="KF19" s="57">
        <f>[1]Q!$H28</f>
        <v>92</v>
      </c>
      <c r="KG19" s="58">
        <f>'[1]4Q'!KE11</f>
        <v>0</v>
      </c>
      <c r="KH19" s="59" t="str">
        <f t="shared" si="17"/>
        <v>PASSED</v>
      </c>
      <c r="KI19" s="59"/>
      <c r="KJ19" s="17"/>
      <c r="KM19" s="54" t="str">
        <f>[1]SUMMARY!$AE$1&amp;" "&amp;[1]SUMMARY!$AI$1</f>
        <v>Technology and Livelihood Education 4</v>
      </c>
      <c r="KN19" s="55"/>
      <c r="KO19" s="55"/>
      <c r="KP19" s="55"/>
      <c r="KQ19" s="56"/>
      <c r="KR19" s="14">
        <f>'[1]1Q'!$H29</f>
        <v>93</v>
      </c>
      <c r="KS19" s="14">
        <f>'[1]2Q'!$H29</f>
        <v>80</v>
      </c>
      <c r="KT19" s="14">
        <f>'[1]3Q'!$H29</f>
        <v>93</v>
      </c>
      <c r="KU19" s="14">
        <f>'[1]4Q'!$H29</f>
        <v>98</v>
      </c>
      <c r="KV19" s="57">
        <f>[1]Q!$H29</f>
        <v>91</v>
      </c>
      <c r="KW19" s="58"/>
      <c r="KX19" s="59" t="str">
        <f t="shared" si="18"/>
        <v>PASSED</v>
      </c>
      <c r="KY19" s="59"/>
      <c r="KZ19" s="17"/>
      <c r="LD19" s="54" t="str">
        <f>[1]SUMMARY!$AE$1&amp;" "&amp;[1]SUMMARY!$AI$1</f>
        <v>Technology and Livelihood Education 4</v>
      </c>
      <c r="LE19" s="55"/>
      <c r="LF19" s="55"/>
      <c r="LG19" s="55"/>
      <c r="LH19" s="56"/>
      <c r="LI19" s="14">
        <f>'[1]1Q'!$H30</f>
        <v>96</v>
      </c>
      <c r="LJ19" s="14">
        <f>'[1]2Q'!$H30</f>
        <v>91</v>
      </c>
      <c r="LK19" s="14">
        <f>'[1]3Q'!$H30</f>
        <v>91</v>
      </c>
      <c r="LL19" s="14">
        <f>'[1]4Q'!$H30</f>
        <v>98</v>
      </c>
      <c r="LM19" s="57">
        <f>[1]Q!$H30</f>
        <v>94</v>
      </c>
      <c r="LN19" s="58">
        <f>'[1]4Q'!LL11</f>
        <v>0</v>
      </c>
      <c r="LO19" s="59" t="str">
        <f t="shared" si="19"/>
        <v>PASSED</v>
      </c>
      <c r="LP19" s="59"/>
    </row>
    <row r="20" spans="1:330" s="9" customFormat="1" ht="19.05" customHeight="1" x14ac:dyDescent="0.3">
      <c r="B20" s="60" t="str">
        <f>[1]SUMMARY!$AJ$1&amp;" "&amp;[1]SUMMARY!$AN$1</f>
        <v>Music, Arts, PE and Health  4</v>
      </c>
      <c r="C20" s="61"/>
      <c r="D20" s="61"/>
      <c r="E20" s="61"/>
      <c r="F20" s="62"/>
      <c r="G20" s="14">
        <f>'[1]1Q'!$I11</f>
        <v>89</v>
      </c>
      <c r="H20" s="14">
        <f>'[1]2Q'!$I11</f>
        <v>97</v>
      </c>
      <c r="I20" s="14">
        <f>'[1]3Q'!$I11</f>
        <v>97</v>
      </c>
      <c r="J20" s="14">
        <f>'[1]4Q'!$I11</f>
        <v>95</v>
      </c>
      <c r="K20" s="57">
        <f>[1]Q!$I11</f>
        <v>95</v>
      </c>
      <c r="L20" s="58">
        <f>'[1]4Q'!M12</f>
        <v>93.4</v>
      </c>
      <c r="M20" s="59" t="str">
        <f t="shared" si="0"/>
        <v>PASSED</v>
      </c>
      <c r="N20" s="59"/>
      <c r="S20" s="60" t="str">
        <f>[1]SUMMARY!$AJ$1&amp;" "&amp;[1]SUMMARY!$AN$1</f>
        <v>Music, Arts, PE and Health  4</v>
      </c>
      <c r="T20" s="61"/>
      <c r="U20" s="61"/>
      <c r="V20" s="61"/>
      <c r="W20" s="62"/>
      <c r="X20" s="14">
        <f>'[1]1Q'!$I12</f>
        <v>87</v>
      </c>
      <c r="Y20" s="14">
        <f>'[1]2Q'!$I12</f>
        <v>94</v>
      </c>
      <c r="Z20" s="14">
        <f>'[1]3Q'!$I12</f>
        <v>95</v>
      </c>
      <c r="AA20" s="14">
        <f>'[1]4Q'!$I12</f>
        <v>95</v>
      </c>
      <c r="AB20" s="57">
        <f>[1]Q!$I12</f>
        <v>93</v>
      </c>
      <c r="AC20" s="58">
        <f>'[1]4Q'!AA12</f>
        <v>0</v>
      </c>
      <c r="AD20" s="59" t="str">
        <f t="shared" si="1"/>
        <v>PASSED</v>
      </c>
      <c r="AE20" s="59"/>
      <c r="AI20" s="60" t="str">
        <f>[1]SUMMARY!$AJ$1&amp;" "&amp;[1]SUMMARY!$AN$1</f>
        <v>Music, Arts, PE and Health  4</v>
      </c>
      <c r="AJ20" s="61"/>
      <c r="AK20" s="61"/>
      <c r="AL20" s="61"/>
      <c r="AM20" s="62"/>
      <c r="AN20" s="14">
        <f>'[1]1Q'!$I13</f>
        <v>98</v>
      </c>
      <c r="AO20" s="14">
        <f>'[1]2Q'!$I13</f>
        <v>98</v>
      </c>
      <c r="AP20" s="14">
        <f>'[1]3Q'!$I13</f>
        <v>99</v>
      </c>
      <c r="AQ20" s="14">
        <f>'[1]4Q'!$I13</f>
        <v>98</v>
      </c>
      <c r="AR20" s="57">
        <f>[1]Q!$I13</f>
        <v>98</v>
      </c>
      <c r="AS20" s="58">
        <f>'[1]4Q'!AQ12</f>
        <v>0</v>
      </c>
      <c r="AT20" s="59" t="str">
        <f t="shared" si="2"/>
        <v>PASSED</v>
      </c>
      <c r="AU20" s="59"/>
      <c r="AZ20" s="60" t="str">
        <f>[1]SUMMARY!$AJ$1&amp;" "&amp;[1]SUMMARY!$AN$1</f>
        <v>Music, Arts, PE and Health  4</v>
      </c>
      <c r="BA20" s="61"/>
      <c r="BB20" s="61"/>
      <c r="BC20" s="61"/>
      <c r="BD20" s="62"/>
      <c r="BE20" s="14">
        <f>'[1]1Q'!$I14</f>
        <v>90</v>
      </c>
      <c r="BF20" s="14">
        <f>'[1]2Q'!$I14</f>
        <v>95</v>
      </c>
      <c r="BG20" s="14">
        <f>'[1]3Q'!$I14</f>
        <v>95</v>
      </c>
      <c r="BH20" s="14">
        <f>'[1]4Q'!$I14</f>
        <v>96</v>
      </c>
      <c r="BI20" s="57">
        <f>[1]Q!$I14</f>
        <v>94</v>
      </c>
      <c r="BJ20" s="58">
        <f>'[1]4Q'!BH12</f>
        <v>0</v>
      </c>
      <c r="BK20" s="59" t="str">
        <f t="shared" si="3"/>
        <v>PASSED</v>
      </c>
      <c r="BL20" s="59"/>
      <c r="BP20" s="60" t="str">
        <f>[1]SUMMARY!$AJ$1&amp;" "&amp;[1]SUMMARY!$AN$1</f>
        <v>Music, Arts, PE and Health  4</v>
      </c>
      <c r="BQ20" s="61"/>
      <c r="BR20" s="61"/>
      <c r="BS20" s="61"/>
      <c r="BT20" s="62"/>
      <c r="BU20" s="14">
        <f>'[1]1Q'!$I15</f>
        <v>92</v>
      </c>
      <c r="BV20" s="14">
        <f>'[1]2Q'!$I15</f>
        <v>96</v>
      </c>
      <c r="BW20" s="14">
        <f>'[1]3Q'!$I15</f>
        <v>97</v>
      </c>
      <c r="BX20" s="14">
        <f>'[1]4Q'!$I15</f>
        <v>95</v>
      </c>
      <c r="BY20" s="57">
        <f>[1]Q!$I15</f>
        <v>95</v>
      </c>
      <c r="BZ20" s="58">
        <f>'[1]4Q'!BX12</f>
        <v>0</v>
      </c>
      <c r="CA20" s="59" t="str">
        <f t="shared" si="4"/>
        <v>PASSED</v>
      </c>
      <c r="CB20" s="59"/>
      <c r="CG20" s="60" t="str">
        <f>[1]SUMMARY!$AJ$1&amp;" "&amp;[1]SUMMARY!$AN$1</f>
        <v>Music, Arts, PE and Health  4</v>
      </c>
      <c r="CH20" s="61"/>
      <c r="CI20" s="61"/>
      <c r="CJ20" s="61"/>
      <c r="CK20" s="62"/>
      <c r="CL20" s="14">
        <f>'[1]1Q'!$I16</f>
        <v>93</v>
      </c>
      <c r="CM20" s="14">
        <f>'[1]2Q'!$I16</f>
        <v>96</v>
      </c>
      <c r="CN20" s="14">
        <f>'[1]3Q'!$I16</f>
        <v>97</v>
      </c>
      <c r="CO20" s="14">
        <f>'[1]4Q'!$I16</f>
        <v>95</v>
      </c>
      <c r="CP20" s="57">
        <f>[1]Q!$I16</f>
        <v>95</v>
      </c>
      <c r="CQ20" s="58">
        <f>'[1]4Q'!CO12</f>
        <v>0</v>
      </c>
      <c r="CR20" s="59" t="str">
        <f t="shared" si="5"/>
        <v>PASSED</v>
      </c>
      <c r="CS20" s="59"/>
      <c r="CW20" s="60" t="str">
        <f>[1]SUMMARY!$AJ$1&amp;" "&amp;[1]SUMMARY!$AN$1</f>
        <v>Music, Arts, PE and Health  4</v>
      </c>
      <c r="CX20" s="61"/>
      <c r="CY20" s="61"/>
      <c r="CZ20" s="61"/>
      <c r="DA20" s="62"/>
      <c r="DB20" s="14">
        <f>'[1]1Q'!$I17</f>
        <v>87</v>
      </c>
      <c r="DC20" s="14">
        <f>'[1]2Q'!$I17</f>
        <v>97</v>
      </c>
      <c r="DD20" s="14">
        <f>'[1]3Q'!$I17</f>
        <v>99</v>
      </c>
      <c r="DE20" s="14">
        <f>'[1]4Q'!$I17</f>
        <v>97</v>
      </c>
      <c r="DF20" s="57">
        <f>[1]Q!$I17</f>
        <v>95</v>
      </c>
      <c r="DG20" s="58">
        <f>'[1]4Q'!DE12</f>
        <v>0</v>
      </c>
      <c r="DH20" s="59" t="str">
        <f t="shared" si="6"/>
        <v>PASSED</v>
      </c>
      <c r="DI20" s="59"/>
      <c r="DN20" s="60" t="str">
        <f>[1]SUMMARY!$AJ$1&amp;" "&amp;[1]SUMMARY!$AN$1</f>
        <v>Music, Arts, PE and Health  4</v>
      </c>
      <c r="DO20" s="61"/>
      <c r="DP20" s="61"/>
      <c r="DQ20" s="61"/>
      <c r="DR20" s="62"/>
      <c r="DS20" s="14">
        <f>'[1]1Q'!$I18</f>
        <v>90</v>
      </c>
      <c r="DT20" s="14">
        <f>'[1]2Q'!$I18</f>
        <v>96</v>
      </c>
      <c r="DU20" s="14">
        <f>'[1]3Q'!$I18</f>
        <v>96</v>
      </c>
      <c r="DV20" s="14">
        <f>'[1]4Q'!$I18</f>
        <v>95</v>
      </c>
      <c r="DW20" s="57">
        <f>[1]Q!$I18</f>
        <v>94</v>
      </c>
      <c r="DX20" s="58">
        <f>'[1]4Q'!DV12</f>
        <v>0</v>
      </c>
      <c r="DY20" s="59" t="str">
        <f t="shared" si="7"/>
        <v>PASSED</v>
      </c>
      <c r="DZ20" s="59"/>
      <c r="ED20" s="60" t="str">
        <f>[1]SUMMARY!$AJ$1&amp;" "&amp;[1]SUMMARY!$AN$1</f>
        <v>Music, Arts, PE and Health  4</v>
      </c>
      <c r="EE20" s="61"/>
      <c r="EF20" s="61"/>
      <c r="EG20" s="61"/>
      <c r="EH20" s="62"/>
      <c r="EI20" s="14">
        <f>'[1]1Q'!$I19</f>
        <v>89</v>
      </c>
      <c r="EJ20" s="14">
        <f>'[1]2Q'!$I19</f>
        <v>95</v>
      </c>
      <c r="EK20" s="14">
        <f>'[1]3Q'!$I19</f>
        <v>96</v>
      </c>
      <c r="EL20" s="14">
        <f>'[1]4Q'!$I19</f>
        <v>93</v>
      </c>
      <c r="EM20" s="57">
        <f>[1]Q!$I19</f>
        <v>93</v>
      </c>
      <c r="EN20" s="58">
        <f>'[1]4Q'!EL12</f>
        <v>0</v>
      </c>
      <c r="EO20" s="59" t="str">
        <f t="shared" si="8"/>
        <v>PASSED</v>
      </c>
      <c r="EP20" s="59"/>
      <c r="EU20" s="60" t="str">
        <f>[1]SUMMARY!$AJ$1&amp;" "&amp;[1]SUMMARY!$AN$1</f>
        <v>Music, Arts, PE and Health  4</v>
      </c>
      <c r="EV20" s="61"/>
      <c r="EW20" s="61"/>
      <c r="EX20" s="61"/>
      <c r="EY20" s="62"/>
      <c r="EZ20" s="14">
        <f>'[1]1Q'!$I20</f>
        <v>95</v>
      </c>
      <c r="FA20" s="14">
        <f>'[1]2Q'!$I20</f>
        <v>97</v>
      </c>
      <c r="FB20" s="14">
        <f>'[1]3Q'!$I20</f>
        <v>99</v>
      </c>
      <c r="FC20" s="14">
        <f>'[1]4Q'!$I20</f>
        <v>95</v>
      </c>
      <c r="FD20" s="57">
        <f>[1]Q!$I20</f>
        <v>97</v>
      </c>
      <c r="FE20" s="58">
        <f>'[1]4Q'!FC12</f>
        <v>0</v>
      </c>
      <c r="FF20" s="59" t="str">
        <f t="shared" si="9"/>
        <v>PASSED</v>
      </c>
      <c r="FG20" s="59"/>
      <c r="FK20" s="60" t="str">
        <f>[1]SUMMARY!$AJ$1&amp;" "&amp;[1]SUMMARY!$AN$1</f>
        <v>Music, Arts, PE and Health  4</v>
      </c>
      <c r="FL20" s="61"/>
      <c r="FM20" s="61"/>
      <c r="FN20" s="61"/>
      <c r="FO20" s="62"/>
      <c r="FP20" s="14">
        <f>'[1]1Q'!$I21</f>
        <v>89</v>
      </c>
      <c r="FQ20" s="14">
        <f>'[1]2Q'!$I21</f>
        <v>97</v>
      </c>
      <c r="FR20" s="14">
        <f>'[1]3Q'!$I21</f>
        <v>98</v>
      </c>
      <c r="FS20" s="14">
        <f>'[1]4Q'!$I21</f>
        <v>96</v>
      </c>
      <c r="FT20" s="57">
        <f>[1]Q!$I21</f>
        <v>95</v>
      </c>
      <c r="FU20" s="58">
        <f>'[1]4Q'!FS12</f>
        <v>0</v>
      </c>
      <c r="FV20" s="59" t="str">
        <f t="shared" si="10"/>
        <v>PASSED</v>
      </c>
      <c r="FW20" s="59"/>
      <c r="GB20" s="60" t="str">
        <f>[1]SUMMARY!$AJ$1&amp;" "&amp;[1]SUMMARY!$AN$1</f>
        <v>Music, Arts, PE and Health  4</v>
      </c>
      <c r="GC20" s="61"/>
      <c r="GD20" s="61"/>
      <c r="GE20" s="61"/>
      <c r="GF20" s="62"/>
      <c r="GG20" s="14">
        <f>'[1]1Q'!$I22</f>
        <v>96</v>
      </c>
      <c r="GH20" s="14">
        <f>'[1]2Q'!$I22</f>
        <v>98</v>
      </c>
      <c r="GI20" s="14">
        <f>'[1]3Q'!$I22</f>
        <v>98</v>
      </c>
      <c r="GJ20" s="14">
        <f>'[1]4Q'!$I22</f>
        <v>97</v>
      </c>
      <c r="GK20" s="57">
        <f>[1]Q!$I22</f>
        <v>97</v>
      </c>
      <c r="GL20" s="58">
        <f>'[1]4Q'!GJ12</f>
        <v>0</v>
      </c>
      <c r="GM20" s="59" t="str">
        <f t="shared" si="11"/>
        <v>PASSED</v>
      </c>
      <c r="GN20" s="59"/>
      <c r="GR20" s="60" t="str">
        <f>[1]SUMMARY!$AJ$1&amp;" "&amp;[1]SUMMARY!$AN$1</f>
        <v>Music, Arts, PE and Health  4</v>
      </c>
      <c r="GS20" s="61"/>
      <c r="GT20" s="61"/>
      <c r="GU20" s="61"/>
      <c r="GV20" s="62"/>
      <c r="GW20" s="14">
        <f>'[1]1Q'!$I23</f>
        <v>85</v>
      </c>
      <c r="GX20" s="14">
        <f>'[1]2Q'!$I23</f>
        <v>95</v>
      </c>
      <c r="GY20" s="14">
        <f>'[1]3Q'!$I23</f>
        <v>98</v>
      </c>
      <c r="GZ20" s="14">
        <f>'[1]4Q'!$I23</f>
        <v>87</v>
      </c>
      <c r="HA20" s="57">
        <f>[1]Q!$I23</f>
        <v>91</v>
      </c>
      <c r="HB20" s="58">
        <f>'[1]4Q'!GZ12</f>
        <v>0</v>
      </c>
      <c r="HC20" s="59" t="str">
        <f t="shared" si="12"/>
        <v>PASSED</v>
      </c>
      <c r="HD20" s="59"/>
      <c r="HI20" s="60" t="str">
        <f>[1]SUMMARY!$AJ$1&amp;" "&amp;[1]SUMMARY!$AN$1</f>
        <v>Music, Arts, PE and Health  4</v>
      </c>
      <c r="HJ20" s="61"/>
      <c r="HK20" s="61"/>
      <c r="HL20" s="61"/>
      <c r="HM20" s="62"/>
      <c r="HN20" s="14">
        <f>'[1]1Q'!$I24</f>
        <v>96</v>
      </c>
      <c r="HO20" s="14">
        <f>'[1]2Q'!$I24</f>
        <v>98</v>
      </c>
      <c r="HP20" s="14">
        <f>'[1]3Q'!$I24</f>
        <v>98</v>
      </c>
      <c r="HQ20" s="14">
        <f>'[1]4Q'!$I24</f>
        <v>97</v>
      </c>
      <c r="HR20" s="57">
        <f>[1]Q!$I24</f>
        <v>97</v>
      </c>
      <c r="HS20" s="58">
        <f>'[1]4Q'!HQ12</f>
        <v>0</v>
      </c>
      <c r="HT20" s="59" t="str">
        <f t="shared" si="13"/>
        <v>PASSED</v>
      </c>
      <c r="HU20" s="59"/>
      <c r="HY20" s="60" t="str">
        <f>[1]SUMMARY!$AJ$1&amp;" "&amp;[1]SUMMARY!$AN$1</f>
        <v>Music, Arts, PE and Health  4</v>
      </c>
      <c r="HZ20" s="61"/>
      <c r="IA20" s="61"/>
      <c r="IB20" s="61"/>
      <c r="IC20" s="62"/>
      <c r="ID20" s="14">
        <f>'[1]1Q'!$I25</f>
        <v>88</v>
      </c>
      <c r="IE20" s="14">
        <f>'[1]2Q'!$I25</f>
        <v>97</v>
      </c>
      <c r="IF20" s="14">
        <f>'[1]3Q'!$I25</f>
        <v>98</v>
      </c>
      <c r="IG20" s="14">
        <f>'[1]4Q'!$I25</f>
        <v>96</v>
      </c>
      <c r="IH20" s="57">
        <f>[1]Q!$I25</f>
        <v>95</v>
      </c>
      <c r="II20" s="58">
        <f>'[1]4Q'!IG12</f>
        <v>0</v>
      </c>
      <c r="IJ20" s="59" t="str">
        <f t="shared" si="14"/>
        <v>PASSED</v>
      </c>
      <c r="IK20" s="59"/>
      <c r="IP20" s="60" t="str">
        <f>[1]SUMMARY!$AJ$1&amp;" "&amp;[1]SUMMARY!$AN$1</f>
        <v>Music, Arts, PE and Health  4</v>
      </c>
      <c r="IQ20" s="61"/>
      <c r="IR20" s="61"/>
      <c r="IS20" s="61"/>
      <c r="IT20" s="62"/>
      <c r="IU20" s="14">
        <f>'[1]1Q'!$I26</f>
        <v>96</v>
      </c>
      <c r="IV20" s="14">
        <f>'[1]2Q'!$I26</f>
        <v>98</v>
      </c>
      <c r="IW20" s="14">
        <f>'[1]3Q'!$I26</f>
        <v>99</v>
      </c>
      <c r="IX20" s="14">
        <f>'[1]4Q'!$I26</f>
        <v>97</v>
      </c>
      <c r="IY20" s="57">
        <f>[1]Q!$I26</f>
        <v>98</v>
      </c>
      <c r="IZ20" s="58">
        <f>'[1]4Q'!IX12</f>
        <v>0</v>
      </c>
      <c r="JA20" s="59" t="str">
        <f t="shared" si="15"/>
        <v>PASSED</v>
      </c>
      <c r="JB20" s="59"/>
      <c r="JF20" s="60" t="str">
        <f>[1]SUMMARY!$AJ$1&amp;" "&amp;[1]SUMMARY!$AN$1</f>
        <v>Music, Arts, PE and Health  4</v>
      </c>
      <c r="JG20" s="61"/>
      <c r="JH20" s="61"/>
      <c r="JI20" s="61"/>
      <c r="JJ20" s="62"/>
      <c r="JK20" s="14">
        <f>'[1]1Q'!$I27</f>
        <v>91</v>
      </c>
      <c r="JL20" s="14">
        <f>'[1]2Q'!$I27</f>
        <v>97</v>
      </c>
      <c r="JM20" s="14">
        <f>'[1]3Q'!$I27</f>
        <v>97</v>
      </c>
      <c r="JN20" s="14">
        <f>'[1]4Q'!$I27</f>
        <v>87</v>
      </c>
      <c r="JO20" s="57">
        <f>[1]Q!$I27</f>
        <v>93</v>
      </c>
      <c r="JP20" s="58">
        <f>'[1]4Q'!JN12</f>
        <v>0</v>
      </c>
      <c r="JQ20" s="59" t="str">
        <f t="shared" si="16"/>
        <v>PASSED</v>
      </c>
      <c r="JR20" s="59"/>
      <c r="JS20" s="12"/>
      <c r="JW20" s="60" t="str">
        <f>[1]SUMMARY!$AJ$1&amp;" "&amp;[1]SUMMARY!$AN$1</f>
        <v>Music, Arts, PE and Health  4</v>
      </c>
      <c r="JX20" s="61"/>
      <c r="JY20" s="61"/>
      <c r="JZ20" s="61"/>
      <c r="KA20" s="62"/>
      <c r="KB20" s="14">
        <f>'[1]1Q'!$I28</f>
        <v>85</v>
      </c>
      <c r="KC20" s="14">
        <f>'[1]2Q'!$I28</f>
        <v>97</v>
      </c>
      <c r="KD20" s="14">
        <f>'[1]3Q'!$I28</f>
        <v>96</v>
      </c>
      <c r="KE20" s="14">
        <f>'[1]4Q'!$I28</f>
        <v>89</v>
      </c>
      <c r="KF20" s="57">
        <f>[1]Q!$I28</f>
        <v>92</v>
      </c>
      <c r="KG20" s="58">
        <f>'[1]4Q'!KE12</f>
        <v>0</v>
      </c>
      <c r="KH20" s="59" t="str">
        <f t="shared" si="17"/>
        <v>PASSED</v>
      </c>
      <c r="KI20" s="59"/>
      <c r="KJ20" s="15"/>
      <c r="KM20" s="60" t="str">
        <f>[1]SUMMARY!$AJ$1&amp;" "&amp;[1]SUMMARY!$AN$1</f>
        <v>Music, Arts, PE and Health  4</v>
      </c>
      <c r="KN20" s="61"/>
      <c r="KO20" s="61"/>
      <c r="KP20" s="61"/>
      <c r="KQ20" s="62"/>
      <c r="KR20" s="14">
        <f>'[1]1Q'!$I29</f>
        <v>87</v>
      </c>
      <c r="KS20" s="14">
        <f>'[1]2Q'!$I29</f>
        <v>97</v>
      </c>
      <c r="KT20" s="14">
        <f>'[1]3Q'!$I29</f>
        <v>99</v>
      </c>
      <c r="KU20" s="14">
        <f>'[1]4Q'!$I29</f>
        <v>87</v>
      </c>
      <c r="KV20" s="57">
        <f>[1]Q!$I29</f>
        <v>93</v>
      </c>
      <c r="KW20" s="58"/>
      <c r="KX20" s="59" t="str">
        <f t="shared" si="18"/>
        <v>PASSED</v>
      </c>
      <c r="KY20" s="59"/>
      <c r="KZ20" s="15"/>
      <c r="LD20" s="60" t="str">
        <f>[1]SUMMARY!$AJ$1&amp;" "&amp;[1]SUMMARY!$AN$1</f>
        <v>Music, Arts, PE and Health  4</v>
      </c>
      <c r="LE20" s="61"/>
      <c r="LF20" s="61"/>
      <c r="LG20" s="61"/>
      <c r="LH20" s="62"/>
      <c r="LI20" s="14">
        <f>'[1]1Q'!$I30</f>
        <v>90</v>
      </c>
      <c r="LJ20" s="14">
        <f>'[1]2Q'!$I30</f>
        <v>98</v>
      </c>
      <c r="LK20" s="14">
        <f>'[1]3Q'!$I30</f>
        <v>99</v>
      </c>
      <c r="LL20" s="14">
        <f>'[1]4Q'!$I30</f>
        <v>98</v>
      </c>
      <c r="LM20" s="57">
        <f>[1]Q!$I30</f>
        <v>96</v>
      </c>
      <c r="LN20" s="58">
        <f>'[1]4Q'!LL12</f>
        <v>0</v>
      </c>
      <c r="LO20" s="59" t="str">
        <f t="shared" si="19"/>
        <v>PASSED</v>
      </c>
      <c r="LP20" s="59"/>
    </row>
    <row r="21" spans="1:330" s="9" customFormat="1" ht="19.05" customHeight="1" x14ac:dyDescent="0.3">
      <c r="B21" s="60" t="str">
        <f>[1]SUMMARY!$AO$1&amp;" "&amp;[1]SUMMARY!$AS$1</f>
        <v>Edukasyon sa Pagpapakatao 4</v>
      </c>
      <c r="C21" s="61"/>
      <c r="D21" s="61"/>
      <c r="E21" s="61"/>
      <c r="F21" s="62"/>
      <c r="G21" s="14">
        <f>'[1]1Q'!$J11</f>
        <v>95</v>
      </c>
      <c r="H21" s="14">
        <f>'[1]2Q'!$J11</f>
        <v>91</v>
      </c>
      <c r="I21" s="14">
        <f>'[1]3Q'!$J11</f>
        <v>92</v>
      </c>
      <c r="J21" s="16">
        <f>'[1]4Q'!$J11</f>
        <v>94</v>
      </c>
      <c r="K21" s="57">
        <f>[1]Q!$J11</f>
        <v>93</v>
      </c>
      <c r="L21" s="58" t="e">
        <f>'[1]4Q'!#REF!</f>
        <v>#REF!</v>
      </c>
      <c r="M21" s="59" t="str">
        <f t="shared" si="0"/>
        <v>PASSED</v>
      </c>
      <c r="N21" s="59"/>
      <c r="S21" s="60" t="str">
        <f>[1]SUMMARY!$AO$1&amp;" "&amp;[1]SUMMARY!$AS$1</f>
        <v>Edukasyon sa Pagpapakatao 4</v>
      </c>
      <c r="T21" s="61"/>
      <c r="U21" s="61"/>
      <c r="V21" s="61"/>
      <c r="W21" s="62"/>
      <c r="X21" s="14">
        <f>'[1]1Q'!$J12</f>
        <v>95</v>
      </c>
      <c r="Y21" s="14">
        <f>'[1]2Q'!$J12</f>
        <v>90</v>
      </c>
      <c r="Z21" s="14">
        <f>'[1]3Q'!$J12</f>
        <v>92</v>
      </c>
      <c r="AA21" s="16">
        <f>'[1]4Q'!$J12</f>
        <v>94</v>
      </c>
      <c r="AB21" s="57">
        <f>[1]Q!$J12</f>
        <v>93</v>
      </c>
      <c r="AC21" s="58">
        <f>'[1]4Q'!AC11</f>
        <v>0</v>
      </c>
      <c r="AD21" s="59" t="str">
        <f t="shared" si="1"/>
        <v>PASSED</v>
      </c>
      <c r="AE21" s="59"/>
      <c r="AI21" s="60" t="str">
        <f>[1]SUMMARY!$AO$1&amp;" "&amp;[1]SUMMARY!$AS$1</f>
        <v>Edukasyon sa Pagpapakatao 4</v>
      </c>
      <c r="AJ21" s="61"/>
      <c r="AK21" s="61"/>
      <c r="AL21" s="61"/>
      <c r="AM21" s="62"/>
      <c r="AN21" s="14">
        <f>'[1]1Q'!$J13</f>
        <v>96</v>
      </c>
      <c r="AO21" s="14">
        <f>'[1]2Q'!$J13</f>
        <v>91</v>
      </c>
      <c r="AP21" s="14">
        <f>'[1]3Q'!$J13</f>
        <v>94</v>
      </c>
      <c r="AQ21" s="16">
        <f>'[1]4Q'!$J13</f>
        <v>97</v>
      </c>
      <c r="AR21" s="57">
        <f>[1]Q!$J13</f>
        <v>95</v>
      </c>
      <c r="AS21" s="58">
        <f>'[1]4Q'!AS11</f>
        <v>0</v>
      </c>
      <c r="AT21" s="59" t="str">
        <f t="shared" si="2"/>
        <v>PASSED</v>
      </c>
      <c r="AU21" s="59"/>
      <c r="AZ21" s="60" t="str">
        <f>[1]SUMMARY!$AO$1&amp;" "&amp;[1]SUMMARY!$AS$1</f>
        <v>Edukasyon sa Pagpapakatao 4</v>
      </c>
      <c r="BA21" s="61"/>
      <c r="BB21" s="61"/>
      <c r="BC21" s="61"/>
      <c r="BD21" s="62"/>
      <c r="BE21" s="14">
        <f>'[1]1Q'!$J14</f>
        <v>96</v>
      </c>
      <c r="BF21" s="14">
        <f>'[1]2Q'!$J14</f>
        <v>90</v>
      </c>
      <c r="BG21" s="14">
        <f>'[1]3Q'!$J14</f>
        <v>92</v>
      </c>
      <c r="BH21" s="16">
        <f>'[1]4Q'!$J14</f>
        <v>94</v>
      </c>
      <c r="BI21" s="57">
        <f>[1]Q!$J14</f>
        <v>93</v>
      </c>
      <c r="BJ21" s="58">
        <f>'[1]4Q'!BJ11</f>
        <v>0</v>
      </c>
      <c r="BK21" s="59" t="str">
        <f t="shared" si="3"/>
        <v>PASSED</v>
      </c>
      <c r="BL21" s="59"/>
      <c r="BP21" s="60" t="str">
        <f>[1]SUMMARY!$AO$1&amp;" "&amp;[1]SUMMARY!$AS$1</f>
        <v>Edukasyon sa Pagpapakatao 4</v>
      </c>
      <c r="BQ21" s="61"/>
      <c r="BR21" s="61"/>
      <c r="BS21" s="61"/>
      <c r="BT21" s="62"/>
      <c r="BU21" s="14">
        <f>'[1]1Q'!$J15</f>
        <v>96</v>
      </c>
      <c r="BV21" s="14">
        <f>'[1]2Q'!$J15</f>
        <v>91</v>
      </c>
      <c r="BW21" s="14">
        <f>'[1]3Q'!$J15</f>
        <v>92</v>
      </c>
      <c r="BX21" s="16">
        <f>'[1]4Q'!$J15</f>
        <v>95</v>
      </c>
      <c r="BY21" s="57">
        <f>[1]Q!$J15</f>
        <v>94</v>
      </c>
      <c r="BZ21" s="58">
        <f>'[1]4Q'!BZ11</f>
        <v>0</v>
      </c>
      <c r="CA21" s="59" t="str">
        <f t="shared" si="4"/>
        <v>PASSED</v>
      </c>
      <c r="CB21" s="59"/>
      <c r="CG21" s="60" t="str">
        <f>[1]SUMMARY!$AO$1&amp;" "&amp;[1]SUMMARY!$AS$1</f>
        <v>Edukasyon sa Pagpapakatao 4</v>
      </c>
      <c r="CH21" s="61"/>
      <c r="CI21" s="61"/>
      <c r="CJ21" s="61"/>
      <c r="CK21" s="62"/>
      <c r="CL21" s="14">
        <f>'[1]1Q'!$J16</f>
        <v>95</v>
      </c>
      <c r="CM21" s="14">
        <f>'[1]2Q'!$J16</f>
        <v>93</v>
      </c>
      <c r="CN21" s="14">
        <f>'[1]3Q'!$J16</f>
        <v>95</v>
      </c>
      <c r="CO21" s="16">
        <f>'[1]4Q'!$J16</f>
        <v>96</v>
      </c>
      <c r="CP21" s="57">
        <f>[1]Q!$J16</f>
        <v>95</v>
      </c>
      <c r="CQ21" s="58">
        <f>'[1]4Q'!CQ11</f>
        <v>0</v>
      </c>
      <c r="CR21" s="59" t="str">
        <f t="shared" si="5"/>
        <v>PASSED</v>
      </c>
      <c r="CS21" s="59"/>
      <c r="CW21" s="60" t="str">
        <f>[1]SUMMARY!$AO$1&amp;" "&amp;[1]SUMMARY!$AS$1</f>
        <v>Edukasyon sa Pagpapakatao 4</v>
      </c>
      <c r="CX21" s="61"/>
      <c r="CY21" s="61"/>
      <c r="CZ21" s="61"/>
      <c r="DA21" s="62"/>
      <c r="DB21" s="14">
        <f>'[1]1Q'!$J17</f>
        <v>95</v>
      </c>
      <c r="DC21" s="14">
        <f>'[1]2Q'!$J17</f>
        <v>92</v>
      </c>
      <c r="DD21" s="14">
        <f>'[1]3Q'!$J17</f>
        <v>95</v>
      </c>
      <c r="DE21" s="16">
        <f>'[1]4Q'!$J17</f>
        <v>95</v>
      </c>
      <c r="DF21" s="57">
        <f>[1]Q!$J17</f>
        <v>94</v>
      </c>
      <c r="DG21" s="58">
        <f>'[1]4Q'!DG11</f>
        <v>0</v>
      </c>
      <c r="DH21" s="59" t="str">
        <f t="shared" si="6"/>
        <v>PASSED</v>
      </c>
      <c r="DI21" s="59"/>
      <c r="DN21" s="60" t="str">
        <f>[1]SUMMARY!$AO$1&amp;" "&amp;[1]SUMMARY!$AS$1</f>
        <v>Edukasyon sa Pagpapakatao 4</v>
      </c>
      <c r="DO21" s="61"/>
      <c r="DP21" s="61"/>
      <c r="DQ21" s="61"/>
      <c r="DR21" s="62"/>
      <c r="DS21" s="14">
        <f>'[1]1Q'!$J18</f>
        <v>94</v>
      </c>
      <c r="DT21" s="14">
        <f>'[1]2Q'!$J18</f>
        <v>90</v>
      </c>
      <c r="DU21" s="14">
        <f>'[1]3Q'!$J18</f>
        <v>92</v>
      </c>
      <c r="DV21" s="16">
        <f>'[1]4Q'!$J18</f>
        <v>95</v>
      </c>
      <c r="DW21" s="57">
        <f>[1]Q!$J18</f>
        <v>93</v>
      </c>
      <c r="DX21" s="58">
        <f>'[1]4Q'!DX11</f>
        <v>0</v>
      </c>
      <c r="DY21" s="59" t="str">
        <f t="shared" si="7"/>
        <v>PASSED</v>
      </c>
      <c r="DZ21" s="59"/>
      <c r="ED21" s="60" t="str">
        <f>[1]SUMMARY!$AO$1&amp;" "&amp;[1]SUMMARY!$AS$1</f>
        <v>Edukasyon sa Pagpapakatao 4</v>
      </c>
      <c r="EE21" s="61"/>
      <c r="EF21" s="61"/>
      <c r="EG21" s="61"/>
      <c r="EH21" s="62"/>
      <c r="EI21" s="14">
        <f>'[1]1Q'!$J19</f>
        <v>90</v>
      </c>
      <c r="EJ21" s="14">
        <f>'[1]2Q'!$J19</f>
        <v>90</v>
      </c>
      <c r="EK21" s="14">
        <f>'[1]3Q'!$J19</f>
        <v>91</v>
      </c>
      <c r="EL21" s="16">
        <f>'[1]4Q'!$J19</f>
        <v>93</v>
      </c>
      <c r="EM21" s="57">
        <f>[1]Q!$J19</f>
        <v>91</v>
      </c>
      <c r="EN21" s="58">
        <f>'[1]4Q'!EN11</f>
        <v>0</v>
      </c>
      <c r="EO21" s="59" t="str">
        <f t="shared" si="8"/>
        <v>PASSED</v>
      </c>
      <c r="EP21" s="59"/>
      <c r="EU21" s="60" t="str">
        <f>[1]SUMMARY!$AO$1&amp;" "&amp;[1]SUMMARY!$AS$1</f>
        <v>Edukasyon sa Pagpapakatao 4</v>
      </c>
      <c r="EV21" s="61"/>
      <c r="EW21" s="61"/>
      <c r="EX21" s="61"/>
      <c r="EY21" s="62"/>
      <c r="EZ21" s="14">
        <f>'[1]1Q'!$J20</f>
        <v>96</v>
      </c>
      <c r="FA21" s="14">
        <f>'[1]2Q'!$J20</f>
        <v>95</v>
      </c>
      <c r="FB21" s="14">
        <f>'[1]3Q'!$J20</f>
        <v>96</v>
      </c>
      <c r="FC21" s="16">
        <f>'[1]4Q'!$J20</f>
        <v>96</v>
      </c>
      <c r="FD21" s="57">
        <f>[1]Q!$J20</f>
        <v>96</v>
      </c>
      <c r="FE21" s="58">
        <f>'[1]4Q'!FE11</f>
        <v>0</v>
      </c>
      <c r="FF21" s="59" t="str">
        <f t="shared" si="9"/>
        <v>PASSED</v>
      </c>
      <c r="FG21" s="59"/>
      <c r="FK21" s="60" t="str">
        <f>[1]SUMMARY!$AO$1&amp;" "&amp;[1]SUMMARY!$AS$1</f>
        <v>Edukasyon sa Pagpapakatao 4</v>
      </c>
      <c r="FL21" s="61"/>
      <c r="FM21" s="61"/>
      <c r="FN21" s="61"/>
      <c r="FO21" s="62"/>
      <c r="FP21" s="14">
        <f>'[1]1Q'!$J21</f>
        <v>97</v>
      </c>
      <c r="FQ21" s="14">
        <f>'[1]2Q'!$J21</f>
        <v>93</v>
      </c>
      <c r="FR21" s="14">
        <f>'[1]3Q'!$J21</f>
        <v>95</v>
      </c>
      <c r="FS21" s="16">
        <f>'[1]4Q'!$J21</f>
        <v>95</v>
      </c>
      <c r="FT21" s="57">
        <f>[1]Q!$J21</f>
        <v>95</v>
      </c>
      <c r="FU21" s="58">
        <f>'[1]4Q'!FU11</f>
        <v>0</v>
      </c>
      <c r="FV21" s="59" t="str">
        <f t="shared" si="10"/>
        <v>PASSED</v>
      </c>
      <c r="FW21" s="59"/>
      <c r="GB21" s="60" t="str">
        <f>[1]SUMMARY!$AO$1&amp;" "&amp;[1]SUMMARY!$AS$1</f>
        <v>Edukasyon sa Pagpapakatao 4</v>
      </c>
      <c r="GC21" s="61"/>
      <c r="GD21" s="61"/>
      <c r="GE21" s="61"/>
      <c r="GF21" s="62"/>
      <c r="GG21" s="14">
        <f>'[1]1Q'!$J22</f>
        <v>96</v>
      </c>
      <c r="GH21" s="14">
        <f>'[1]2Q'!$J22</f>
        <v>92</v>
      </c>
      <c r="GI21" s="14">
        <f>'[1]3Q'!$J22</f>
        <v>95</v>
      </c>
      <c r="GJ21" s="16">
        <f>'[1]4Q'!$J22</f>
        <v>97</v>
      </c>
      <c r="GK21" s="57">
        <f>[1]Q!$J22</f>
        <v>95</v>
      </c>
      <c r="GL21" s="58">
        <f>'[1]4Q'!GL11</f>
        <v>0</v>
      </c>
      <c r="GM21" s="59" t="str">
        <f t="shared" si="11"/>
        <v>PASSED</v>
      </c>
      <c r="GN21" s="59"/>
      <c r="GR21" s="60" t="str">
        <f>[1]SUMMARY!$AO$1&amp;" "&amp;[1]SUMMARY!$AS$1</f>
        <v>Edukasyon sa Pagpapakatao 4</v>
      </c>
      <c r="GS21" s="61"/>
      <c r="GT21" s="61"/>
      <c r="GU21" s="61"/>
      <c r="GV21" s="62"/>
      <c r="GW21" s="14">
        <f>'[1]1Q'!$J23</f>
        <v>96</v>
      </c>
      <c r="GX21" s="14">
        <f>'[1]2Q'!$J23</f>
        <v>92</v>
      </c>
      <c r="GY21" s="14">
        <f>'[1]3Q'!$J23</f>
        <v>93</v>
      </c>
      <c r="GZ21" s="16">
        <f>'[1]4Q'!$J23</f>
        <v>95</v>
      </c>
      <c r="HA21" s="57">
        <f>[1]Q!$J23</f>
        <v>94</v>
      </c>
      <c r="HB21" s="58">
        <f>'[1]4Q'!HB11</f>
        <v>0</v>
      </c>
      <c r="HC21" s="59" t="str">
        <f t="shared" si="12"/>
        <v>PASSED</v>
      </c>
      <c r="HD21" s="59"/>
      <c r="HI21" s="60" t="str">
        <f>[1]SUMMARY!$AO$1&amp;" "&amp;[1]SUMMARY!$AS$1</f>
        <v>Edukasyon sa Pagpapakatao 4</v>
      </c>
      <c r="HJ21" s="61"/>
      <c r="HK21" s="61"/>
      <c r="HL21" s="61"/>
      <c r="HM21" s="62"/>
      <c r="HN21" s="14">
        <f>'[1]1Q'!$J24</f>
        <v>96</v>
      </c>
      <c r="HO21" s="14">
        <f>'[1]2Q'!$J24</f>
        <v>93</v>
      </c>
      <c r="HP21" s="14">
        <f>'[1]3Q'!$J24</f>
        <v>95</v>
      </c>
      <c r="HQ21" s="16">
        <f>'[1]4Q'!$J24</f>
        <v>96</v>
      </c>
      <c r="HR21" s="57">
        <f>[1]Q!$J24</f>
        <v>95</v>
      </c>
      <c r="HS21" s="58">
        <f>'[1]4Q'!HS11</f>
        <v>0</v>
      </c>
      <c r="HT21" s="59" t="str">
        <f t="shared" si="13"/>
        <v>PASSED</v>
      </c>
      <c r="HU21" s="59"/>
      <c r="HY21" s="60" t="str">
        <f>[1]SUMMARY!$AO$1&amp;" "&amp;[1]SUMMARY!$AS$1</f>
        <v>Edukasyon sa Pagpapakatao 4</v>
      </c>
      <c r="HZ21" s="61"/>
      <c r="IA21" s="61"/>
      <c r="IB21" s="61"/>
      <c r="IC21" s="62"/>
      <c r="ID21" s="14">
        <f>'[1]1Q'!$J25</f>
        <v>96</v>
      </c>
      <c r="IE21" s="14">
        <f>'[1]2Q'!$J25</f>
        <v>92</v>
      </c>
      <c r="IF21" s="14">
        <f>'[1]3Q'!$J25</f>
        <v>93</v>
      </c>
      <c r="IG21" s="16">
        <f>'[1]4Q'!$J25</f>
        <v>96</v>
      </c>
      <c r="IH21" s="57">
        <f>[1]Q!$J25</f>
        <v>94</v>
      </c>
      <c r="II21" s="58">
        <f>'[1]4Q'!II11</f>
        <v>0</v>
      </c>
      <c r="IJ21" s="59" t="str">
        <f t="shared" si="14"/>
        <v>PASSED</v>
      </c>
      <c r="IK21" s="59"/>
      <c r="IP21" s="60" t="str">
        <f>[1]SUMMARY!$AO$1&amp;" "&amp;[1]SUMMARY!$AS$1</f>
        <v>Edukasyon sa Pagpapakatao 4</v>
      </c>
      <c r="IQ21" s="61"/>
      <c r="IR21" s="61"/>
      <c r="IS21" s="61"/>
      <c r="IT21" s="62"/>
      <c r="IU21" s="14">
        <f>'[1]1Q'!$J26</f>
        <v>96</v>
      </c>
      <c r="IV21" s="14">
        <f>'[1]2Q'!$J26</f>
        <v>92</v>
      </c>
      <c r="IW21" s="14">
        <f>'[1]3Q'!$J26</f>
        <v>96</v>
      </c>
      <c r="IX21" s="16">
        <f>'[1]4Q'!$J26</f>
        <v>97</v>
      </c>
      <c r="IY21" s="57">
        <f>[1]Q!$J26</f>
        <v>95</v>
      </c>
      <c r="IZ21" s="58">
        <f>'[1]4Q'!IZ11</f>
        <v>0</v>
      </c>
      <c r="JA21" s="59" t="str">
        <f t="shared" si="15"/>
        <v>PASSED</v>
      </c>
      <c r="JB21" s="59"/>
      <c r="JF21" s="60" t="str">
        <f>[1]SUMMARY!$AO$1&amp;" "&amp;[1]SUMMARY!$AS$1</f>
        <v>Edukasyon sa Pagpapakatao 4</v>
      </c>
      <c r="JG21" s="61"/>
      <c r="JH21" s="61"/>
      <c r="JI21" s="61"/>
      <c r="JJ21" s="62"/>
      <c r="JK21" s="14">
        <f>'[1]1Q'!$J27</f>
        <v>96</v>
      </c>
      <c r="JL21" s="14">
        <f>'[1]2Q'!$J27</f>
        <v>95</v>
      </c>
      <c r="JM21" s="14">
        <f>'[1]3Q'!$J27</f>
        <v>97</v>
      </c>
      <c r="JN21" s="16">
        <f>'[1]4Q'!$J27</f>
        <v>97</v>
      </c>
      <c r="JO21" s="57">
        <f>[1]Q!$J27</f>
        <v>96</v>
      </c>
      <c r="JP21" s="58">
        <f>'[1]4Q'!JP11</f>
        <v>0</v>
      </c>
      <c r="JQ21" s="59" t="str">
        <f t="shared" si="16"/>
        <v>PASSED</v>
      </c>
      <c r="JR21" s="59"/>
      <c r="JS21" s="12"/>
      <c r="JW21" s="60" t="str">
        <f>[1]SUMMARY!$AO$1&amp;" "&amp;[1]SUMMARY!$AS$1</f>
        <v>Edukasyon sa Pagpapakatao 4</v>
      </c>
      <c r="JX21" s="61"/>
      <c r="JY21" s="61"/>
      <c r="JZ21" s="61"/>
      <c r="KA21" s="62"/>
      <c r="KB21" s="14">
        <f>'[1]1Q'!$J28</f>
        <v>95</v>
      </c>
      <c r="KC21" s="14">
        <f>'[1]2Q'!$J28</f>
        <v>92</v>
      </c>
      <c r="KD21" s="14">
        <f>'[1]3Q'!$J28</f>
        <v>94</v>
      </c>
      <c r="KE21" s="16">
        <f>'[1]4Q'!$J28</f>
        <v>96</v>
      </c>
      <c r="KF21" s="57">
        <f>[1]Q!$J28</f>
        <v>94</v>
      </c>
      <c r="KG21" s="58">
        <f>'[1]4Q'!KG11</f>
        <v>0</v>
      </c>
      <c r="KH21" s="59" t="str">
        <f t="shared" si="17"/>
        <v>PASSED</v>
      </c>
      <c r="KI21" s="59"/>
      <c r="KJ21" s="15"/>
      <c r="KM21" s="60" t="str">
        <f>[1]SUMMARY!$AO$1&amp;" "&amp;[1]SUMMARY!$AS$1</f>
        <v>Edukasyon sa Pagpapakatao 4</v>
      </c>
      <c r="KN21" s="61"/>
      <c r="KO21" s="61"/>
      <c r="KP21" s="61"/>
      <c r="KQ21" s="62"/>
      <c r="KR21" s="14">
        <f>'[1]1Q'!$J29</f>
        <v>96</v>
      </c>
      <c r="KS21" s="14">
        <f>'[1]2Q'!$J29</f>
        <v>92</v>
      </c>
      <c r="KT21" s="14">
        <f>'[1]3Q'!$J29</f>
        <v>93</v>
      </c>
      <c r="KU21" s="16">
        <f>'[1]4Q'!$J29</f>
        <v>94</v>
      </c>
      <c r="KV21" s="57">
        <f>[1]Q!$J29</f>
        <v>94</v>
      </c>
      <c r="KW21" s="58"/>
      <c r="KX21" s="59" t="str">
        <f t="shared" si="18"/>
        <v>PASSED</v>
      </c>
      <c r="KY21" s="59"/>
      <c r="KZ21" s="15"/>
      <c r="LD21" s="60" t="str">
        <f>[1]SUMMARY!$AO$1&amp;" "&amp;[1]SUMMARY!$AS$1</f>
        <v>Edukasyon sa Pagpapakatao 4</v>
      </c>
      <c r="LE21" s="61"/>
      <c r="LF21" s="61"/>
      <c r="LG21" s="61"/>
      <c r="LH21" s="62"/>
      <c r="LI21" s="14">
        <f>'[1]1Q'!$J30</f>
        <v>97</v>
      </c>
      <c r="LJ21" s="14">
        <f>'[1]2Q'!$J30</f>
        <v>95</v>
      </c>
      <c r="LK21" s="14">
        <f>'[1]3Q'!$J30</f>
        <v>96</v>
      </c>
      <c r="LL21" s="16">
        <f>'[1]4Q'!$J30</f>
        <v>97</v>
      </c>
      <c r="LM21" s="57">
        <f>[1]Q!$J30</f>
        <v>96</v>
      </c>
      <c r="LN21" s="58">
        <f>'[1]4Q'!LN11</f>
        <v>0</v>
      </c>
      <c r="LO21" s="59" t="str">
        <f t="shared" si="19"/>
        <v>PASSED</v>
      </c>
      <c r="LP21" s="59"/>
    </row>
    <row r="22" spans="1:330" s="9" customFormat="1" ht="19.05" customHeight="1" x14ac:dyDescent="0.3">
      <c r="B22" s="60" t="str">
        <f>[1]SUMMARY!$AT$1&amp;" "&amp;[1]SUMMARY!$AX$1</f>
        <v xml:space="preserve">Advanced Biology </v>
      </c>
      <c r="C22" s="61"/>
      <c r="D22" s="61"/>
      <c r="E22" s="61"/>
      <c r="F22" s="62"/>
      <c r="G22" s="14">
        <f>'[1]1Q'!$K11</f>
        <v>89</v>
      </c>
      <c r="H22" s="14">
        <f>'[1]2Q'!$K11</f>
        <v>92</v>
      </c>
      <c r="I22" s="16">
        <f>'[1]3Q'!$K11</f>
        <v>89</v>
      </c>
      <c r="J22" s="14">
        <f>'[1]4Q'!$K11</f>
        <v>95</v>
      </c>
      <c r="K22" s="57">
        <f>[1]Q!$K11</f>
        <v>91</v>
      </c>
      <c r="L22" s="58" t="e">
        <f>'[1]4Q'!#REF!</f>
        <v>#REF!</v>
      </c>
      <c r="M22" s="59" t="str">
        <f t="shared" si="0"/>
        <v>PASSED</v>
      </c>
      <c r="N22" s="59"/>
      <c r="S22" s="60" t="str">
        <f>[1]SUMMARY!$AT$1&amp;" "&amp;[1]SUMMARY!$AX$1</f>
        <v xml:space="preserve">Advanced Biology </v>
      </c>
      <c r="T22" s="61"/>
      <c r="U22" s="61"/>
      <c r="V22" s="61"/>
      <c r="W22" s="62"/>
      <c r="X22" s="14">
        <f>'[1]1Q'!$K12</f>
        <v>81</v>
      </c>
      <c r="Y22" s="14">
        <f>'[1]2Q'!$K12</f>
        <v>85</v>
      </c>
      <c r="Z22" s="16">
        <f>'[1]3Q'!$K12</f>
        <v>86</v>
      </c>
      <c r="AA22" s="14">
        <f>'[1]4Q'!$K12</f>
        <v>94</v>
      </c>
      <c r="AB22" s="57">
        <f>[1]Q!$K12</f>
        <v>87</v>
      </c>
      <c r="AC22" s="58">
        <f>'[1]4Q'!AD11</f>
        <v>0</v>
      </c>
      <c r="AD22" s="59" t="str">
        <f t="shared" si="1"/>
        <v>PASSED</v>
      </c>
      <c r="AE22" s="59"/>
      <c r="AI22" s="60" t="str">
        <f>[1]SUMMARY!$AT$1&amp;" "&amp;[1]SUMMARY!$AX$1</f>
        <v xml:space="preserve">Advanced Biology </v>
      </c>
      <c r="AJ22" s="61"/>
      <c r="AK22" s="61"/>
      <c r="AL22" s="61"/>
      <c r="AM22" s="62"/>
      <c r="AN22" s="14">
        <f>'[1]1Q'!$K13</f>
        <v>94</v>
      </c>
      <c r="AO22" s="14">
        <f>'[1]2Q'!$K13</f>
        <v>95</v>
      </c>
      <c r="AP22" s="16">
        <f>'[1]3Q'!$K13</f>
        <v>98</v>
      </c>
      <c r="AQ22" s="14">
        <f>'[1]4Q'!$K13</f>
        <v>98</v>
      </c>
      <c r="AR22" s="57">
        <f>[1]Q!$K13</f>
        <v>96</v>
      </c>
      <c r="AS22" s="58">
        <f>'[1]4Q'!AT11</f>
        <v>0</v>
      </c>
      <c r="AT22" s="59" t="str">
        <f t="shared" si="2"/>
        <v>PASSED</v>
      </c>
      <c r="AU22" s="59"/>
      <c r="AZ22" s="60" t="str">
        <f>[1]SUMMARY!$AT$1&amp;" "&amp;[1]SUMMARY!$AX$1</f>
        <v xml:space="preserve">Advanced Biology </v>
      </c>
      <c r="BA22" s="61"/>
      <c r="BB22" s="61"/>
      <c r="BC22" s="61"/>
      <c r="BD22" s="62"/>
      <c r="BE22" s="14">
        <f>'[1]1Q'!$K14</f>
        <v>87</v>
      </c>
      <c r="BF22" s="14">
        <f>'[1]2Q'!$K14</f>
        <v>90</v>
      </c>
      <c r="BG22" s="16">
        <f>'[1]3Q'!$K14</f>
        <v>93</v>
      </c>
      <c r="BH22" s="14">
        <f>'[1]4Q'!$K14</f>
        <v>94</v>
      </c>
      <c r="BI22" s="57">
        <f>[1]Q!$K14</f>
        <v>91</v>
      </c>
      <c r="BJ22" s="58">
        <f>'[1]4Q'!BK11</f>
        <v>0</v>
      </c>
      <c r="BK22" s="59" t="str">
        <f t="shared" si="3"/>
        <v>PASSED</v>
      </c>
      <c r="BL22" s="59"/>
      <c r="BP22" s="60" t="str">
        <f>[1]SUMMARY!$AT$1&amp;" "&amp;[1]SUMMARY!$AX$1</f>
        <v xml:space="preserve">Advanced Biology </v>
      </c>
      <c r="BQ22" s="61"/>
      <c r="BR22" s="61"/>
      <c r="BS22" s="61"/>
      <c r="BT22" s="62"/>
      <c r="BU22" s="14">
        <f>'[1]1Q'!$K15</f>
        <v>95</v>
      </c>
      <c r="BV22" s="14">
        <f>'[1]2Q'!$K15</f>
        <v>93</v>
      </c>
      <c r="BW22" s="16">
        <f>'[1]3Q'!$K15</f>
        <v>96</v>
      </c>
      <c r="BX22" s="14">
        <f>'[1]4Q'!$K15</f>
        <v>96</v>
      </c>
      <c r="BY22" s="57">
        <f>[1]Q!$K15</f>
        <v>95</v>
      </c>
      <c r="BZ22" s="58">
        <f>'[1]4Q'!CA11</f>
        <v>0</v>
      </c>
      <c r="CA22" s="59" t="str">
        <f t="shared" si="4"/>
        <v>PASSED</v>
      </c>
      <c r="CB22" s="59"/>
      <c r="CG22" s="60" t="str">
        <f>[1]SUMMARY!$AT$1&amp;" "&amp;[1]SUMMARY!$AX$1</f>
        <v xml:space="preserve">Advanced Biology </v>
      </c>
      <c r="CH22" s="61"/>
      <c r="CI22" s="61"/>
      <c r="CJ22" s="61"/>
      <c r="CK22" s="62"/>
      <c r="CL22" s="14">
        <f>'[1]1Q'!$K16</f>
        <v>93</v>
      </c>
      <c r="CM22" s="14">
        <f>'[1]2Q'!$K16</f>
        <v>96</v>
      </c>
      <c r="CN22" s="16">
        <f>'[1]3Q'!$K16</f>
        <v>97</v>
      </c>
      <c r="CO22" s="14">
        <f>'[1]4Q'!$K16</f>
        <v>96</v>
      </c>
      <c r="CP22" s="57">
        <f>[1]Q!$K16</f>
        <v>96</v>
      </c>
      <c r="CQ22" s="58">
        <f>'[1]4Q'!CR11</f>
        <v>0</v>
      </c>
      <c r="CR22" s="59" t="str">
        <f t="shared" si="5"/>
        <v>PASSED</v>
      </c>
      <c r="CS22" s="59"/>
      <c r="CW22" s="60" t="str">
        <f>[1]SUMMARY!$AT$1&amp;" "&amp;[1]SUMMARY!$AX$1</f>
        <v xml:space="preserve">Advanced Biology </v>
      </c>
      <c r="CX22" s="61"/>
      <c r="CY22" s="61"/>
      <c r="CZ22" s="61"/>
      <c r="DA22" s="62"/>
      <c r="DB22" s="14">
        <f>'[1]1Q'!$K17</f>
        <v>94</v>
      </c>
      <c r="DC22" s="14">
        <f>'[1]2Q'!$K17</f>
        <v>90</v>
      </c>
      <c r="DD22" s="16">
        <f>'[1]3Q'!$K17</f>
        <v>90</v>
      </c>
      <c r="DE22" s="14">
        <f>'[1]4Q'!$K17</f>
        <v>96</v>
      </c>
      <c r="DF22" s="57">
        <f>[1]Q!$K17</f>
        <v>93</v>
      </c>
      <c r="DG22" s="58">
        <f>'[1]4Q'!DH11</f>
        <v>0</v>
      </c>
      <c r="DH22" s="59" t="str">
        <f t="shared" si="6"/>
        <v>PASSED</v>
      </c>
      <c r="DI22" s="59"/>
      <c r="DN22" s="60" t="str">
        <f>[1]SUMMARY!$AT$1&amp;" "&amp;[1]SUMMARY!$AX$1</f>
        <v xml:space="preserve">Advanced Biology </v>
      </c>
      <c r="DO22" s="61"/>
      <c r="DP22" s="61"/>
      <c r="DQ22" s="61"/>
      <c r="DR22" s="62"/>
      <c r="DS22" s="14">
        <f>'[1]1Q'!$K18</f>
        <v>82</v>
      </c>
      <c r="DT22" s="14">
        <f>'[1]2Q'!$K18</f>
        <v>86</v>
      </c>
      <c r="DU22" s="16">
        <f>'[1]3Q'!$K18</f>
        <v>90</v>
      </c>
      <c r="DV22" s="14">
        <f>'[1]4Q'!$K18</f>
        <v>95</v>
      </c>
      <c r="DW22" s="57">
        <f>[1]Q!$K18</f>
        <v>88</v>
      </c>
      <c r="DX22" s="58">
        <f>'[1]4Q'!DY11</f>
        <v>0</v>
      </c>
      <c r="DY22" s="59" t="str">
        <f t="shared" si="7"/>
        <v>PASSED</v>
      </c>
      <c r="DZ22" s="59"/>
      <c r="ED22" s="60" t="str">
        <f>[1]SUMMARY!$AT$1&amp;" "&amp;[1]SUMMARY!$AX$1</f>
        <v xml:space="preserve">Advanced Biology </v>
      </c>
      <c r="EE22" s="61"/>
      <c r="EF22" s="61"/>
      <c r="EG22" s="61"/>
      <c r="EH22" s="62"/>
      <c r="EI22" s="14">
        <f>'[1]1Q'!$K19</f>
        <v>87</v>
      </c>
      <c r="EJ22" s="14">
        <f>'[1]2Q'!$K19</f>
        <v>87</v>
      </c>
      <c r="EK22" s="16">
        <f>'[1]3Q'!$K19</f>
        <v>88</v>
      </c>
      <c r="EL22" s="14">
        <f>'[1]4Q'!$K19</f>
        <v>92</v>
      </c>
      <c r="EM22" s="57">
        <f>[1]Q!$K19</f>
        <v>89</v>
      </c>
      <c r="EN22" s="58">
        <f>'[1]4Q'!EO11</f>
        <v>0</v>
      </c>
      <c r="EO22" s="59" t="str">
        <f t="shared" si="8"/>
        <v>PASSED</v>
      </c>
      <c r="EP22" s="59"/>
      <c r="EU22" s="60" t="str">
        <f>[1]SUMMARY!$AT$1&amp;" "&amp;[1]SUMMARY!$AX$1</f>
        <v xml:space="preserve">Advanced Biology </v>
      </c>
      <c r="EV22" s="61"/>
      <c r="EW22" s="61"/>
      <c r="EX22" s="61"/>
      <c r="EY22" s="62"/>
      <c r="EZ22" s="14">
        <f>'[1]1Q'!$K20</f>
        <v>97</v>
      </c>
      <c r="FA22" s="14">
        <f>'[1]2Q'!$K20</f>
        <v>99</v>
      </c>
      <c r="FB22" s="16">
        <f>'[1]3Q'!$K20</f>
        <v>98</v>
      </c>
      <c r="FC22" s="14">
        <f>'[1]4Q'!$K20</f>
        <v>98</v>
      </c>
      <c r="FD22" s="57">
        <f>[1]Q!$K20</f>
        <v>98</v>
      </c>
      <c r="FE22" s="58">
        <f>'[1]4Q'!FF11</f>
        <v>0</v>
      </c>
      <c r="FF22" s="59" t="str">
        <f t="shared" si="9"/>
        <v>PASSED</v>
      </c>
      <c r="FG22" s="59"/>
      <c r="FK22" s="60" t="str">
        <f>[1]SUMMARY!$AT$1&amp;" "&amp;[1]SUMMARY!$AX$1</f>
        <v xml:space="preserve">Advanced Biology </v>
      </c>
      <c r="FL22" s="61"/>
      <c r="FM22" s="61"/>
      <c r="FN22" s="61"/>
      <c r="FO22" s="62"/>
      <c r="FP22" s="14">
        <f>'[1]1Q'!$K21</f>
        <v>87</v>
      </c>
      <c r="FQ22" s="14">
        <f>'[1]2Q'!$K21</f>
        <v>88</v>
      </c>
      <c r="FR22" s="16">
        <f>'[1]3Q'!$K21</f>
        <v>92</v>
      </c>
      <c r="FS22" s="14">
        <f>'[1]4Q'!$K21</f>
        <v>94</v>
      </c>
      <c r="FT22" s="57">
        <f>[1]Q!$K21</f>
        <v>90</v>
      </c>
      <c r="FU22" s="58">
        <f>'[1]4Q'!FV11</f>
        <v>0</v>
      </c>
      <c r="FV22" s="59" t="str">
        <f t="shared" si="10"/>
        <v>PASSED</v>
      </c>
      <c r="FW22" s="59"/>
      <c r="GB22" s="60" t="str">
        <f>[1]SUMMARY!$AT$1&amp;" "&amp;[1]SUMMARY!$AX$1</f>
        <v xml:space="preserve">Advanced Biology </v>
      </c>
      <c r="GC22" s="61"/>
      <c r="GD22" s="61"/>
      <c r="GE22" s="61"/>
      <c r="GF22" s="62"/>
      <c r="GG22" s="14">
        <f>'[1]1Q'!$K22</f>
        <v>90</v>
      </c>
      <c r="GH22" s="14">
        <f>'[1]2Q'!$K22</f>
        <v>93</v>
      </c>
      <c r="GI22" s="16">
        <f>'[1]3Q'!$K22</f>
        <v>95</v>
      </c>
      <c r="GJ22" s="14">
        <f>'[1]4Q'!$K22</f>
        <v>97</v>
      </c>
      <c r="GK22" s="57">
        <f>[1]Q!$K22</f>
        <v>94</v>
      </c>
      <c r="GL22" s="58">
        <f>'[1]4Q'!GM11</f>
        <v>0</v>
      </c>
      <c r="GM22" s="59" t="str">
        <f t="shared" si="11"/>
        <v>PASSED</v>
      </c>
      <c r="GN22" s="59"/>
      <c r="GR22" s="60" t="str">
        <f>[1]SUMMARY!$AT$1&amp;" "&amp;[1]SUMMARY!$AX$1</f>
        <v xml:space="preserve">Advanced Biology </v>
      </c>
      <c r="GS22" s="61"/>
      <c r="GT22" s="61"/>
      <c r="GU22" s="61"/>
      <c r="GV22" s="62"/>
      <c r="GW22" s="14">
        <f>'[1]1Q'!$K23</f>
        <v>94</v>
      </c>
      <c r="GX22" s="14">
        <f>'[1]2Q'!$K23</f>
        <v>90</v>
      </c>
      <c r="GY22" s="16">
        <f>'[1]3Q'!$K23</f>
        <v>92</v>
      </c>
      <c r="GZ22" s="14">
        <f>'[1]4Q'!$K23</f>
        <v>95</v>
      </c>
      <c r="HA22" s="57">
        <f>[1]Q!$K23</f>
        <v>93</v>
      </c>
      <c r="HB22" s="58">
        <f>'[1]4Q'!HC11</f>
        <v>0</v>
      </c>
      <c r="HC22" s="59" t="str">
        <f t="shared" si="12"/>
        <v>PASSED</v>
      </c>
      <c r="HD22" s="59"/>
      <c r="HI22" s="60" t="str">
        <f>[1]SUMMARY!$AT$1&amp;" "&amp;[1]SUMMARY!$AX$1</f>
        <v xml:space="preserve">Advanced Biology </v>
      </c>
      <c r="HJ22" s="61"/>
      <c r="HK22" s="61"/>
      <c r="HL22" s="61"/>
      <c r="HM22" s="62"/>
      <c r="HN22" s="14">
        <f>'[1]1Q'!$K24</f>
        <v>95</v>
      </c>
      <c r="HO22" s="14">
        <f>'[1]2Q'!$K24</f>
        <v>95</v>
      </c>
      <c r="HP22" s="16">
        <f>'[1]3Q'!$K24</f>
        <v>95</v>
      </c>
      <c r="HQ22" s="14">
        <f>'[1]4Q'!$K24</f>
        <v>97</v>
      </c>
      <c r="HR22" s="57">
        <f>[1]Q!$K24</f>
        <v>96</v>
      </c>
      <c r="HS22" s="58">
        <f>'[1]4Q'!HT11</f>
        <v>0</v>
      </c>
      <c r="HT22" s="59" t="str">
        <f t="shared" si="13"/>
        <v>PASSED</v>
      </c>
      <c r="HU22" s="59"/>
      <c r="HY22" s="60" t="str">
        <f>[1]SUMMARY!$AT$1&amp;" "&amp;[1]SUMMARY!$AX$1</f>
        <v xml:space="preserve">Advanced Biology </v>
      </c>
      <c r="HZ22" s="61"/>
      <c r="IA22" s="61"/>
      <c r="IB22" s="61"/>
      <c r="IC22" s="62"/>
      <c r="ID22" s="14">
        <f>'[1]1Q'!$K25</f>
        <v>93</v>
      </c>
      <c r="IE22" s="14">
        <f>'[1]2Q'!$K25</f>
        <v>92</v>
      </c>
      <c r="IF22" s="16">
        <f>'[1]3Q'!$K25</f>
        <v>90</v>
      </c>
      <c r="IG22" s="14">
        <f>'[1]4Q'!$K25</f>
        <v>94</v>
      </c>
      <c r="IH22" s="57">
        <f>[1]Q!$K25</f>
        <v>92</v>
      </c>
      <c r="II22" s="58">
        <f>'[1]4Q'!IJ11</f>
        <v>0</v>
      </c>
      <c r="IJ22" s="59" t="str">
        <f t="shared" si="14"/>
        <v>PASSED</v>
      </c>
      <c r="IK22" s="59"/>
      <c r="IP22" s="60" t="str">
        <f>[1]SUMMARY!$AT$1&amp;" "&amp;[1]SUMMARY!$AX$1</f>
        <v xml:space="preserve">Advanced Biology </v>
      </c>
      <c r="IQ22" s="61"/>
      <c r="IR22" s="61"/>
      <c r="IS22" s="61"/>
      <c r="IT22" s="62"/>
      <c r="IU22" s="14">
        <f>'[1]1Q'!$K26</f>
        <v>96</v>
      </c>
      <c r="IV22" s="14">
        <f>'[1]2Q'!$K26</f>
        <v>97</v>
      </c>
      <c r="IW22" s="14">
        <f>'[1]3Q'!$K26</f>
        <v>97</v>
      </c>
      <c r="IX22" s="14">
        <f>'[1]4Q'!$K26</f>
        <v>96</v>
      </c>
      <c r="IY22" s="57">
        <f>[1]Q!$K26</f>
        <v>97</v>
      </c>
      <c r="IZ22" s="58">
        <f>'[1]4Q'!JA11</f>
        <v>0</v>
      </c>
      <c r="JA22" s="59" t="str">
        <f t="shared" si="15"/>
        <v>PASSED</v>
      </c>
      <c r="JB22" s="59"/>
      <c r="JF22" s="60" t="str">
        <f>[1]SUMMARY!$AT$1&amp;" "&amp;[1]SUMMARY!$AX$1</f>
        <v xml:space="preserve">Advanced Biology </v>
      </c>
      <c r="JG22" s="61"/>
      <c r="JH22" s="61"/>
      <c r="JI22" s="61"/>
      <c r="JJ22" s="62"/>
      <c r="JK22" s="14">
        <f>'[1]1Q'!$K27</f>
        <v>98</v>
      </c>
      <c r="JL22" s="14">
        <f>'[1]2Q'!$K27</f>
        <v>97</v>
      </c>
      <c r="JM22" s="16">
        <f>'[1]3Q'!$K27</f>
        <v>97</v>
      </c>
      <c r="JN22" s="14">
        <f>'[1]4Q'!$K27</f>
        <v>96</v>
      </c>
      <c r="JO22" s="57">
        <f>[1]Q!$K27</f>
        <v>97</v>
      </c>
      <c r="JP22" s="58">
        <f>'[1]4Q'!JQ11</f>
        <v>0</v>
      </c>
      <c r="JQ22" s="59" t="str">
        <f t="shared" si="16"/>
        <v>PASSED</v>
      </c>
      <c r="JR22" s="59"/>
      <c r="JS22" s="12"/>
      <c r="JW22" s="60" t="str">
        <f>[1]SUMMARY!$AT$1&amp;" "&amp;[1]SUMMARY!$AX$1</f>
        <v xml:space="preserve">Advanced Biology </v>
      </c>
      <c r="JX22" s="61"/>
      <c r="JY22" s="61"/>
      <c r="JZ22" s="61"/>
      <c r="KA22" s="62"/>
      <c r="KB22" s="14">
        <f>'[1]1Q'!$K28</f>
        <v>87</v>
      </c>
      <c r="KC22" s="14">
        <f>'[1]2Q'!$K28</f>
        <v>88</v>
      </c>
      <c r="KD22" s="16">
        <f>'[1]3Q'!$K28</f>
        <v>89</v>
      </c>
      <c r="KE22" s="14">
        <f>'[1]4Q'!$K28</f>
        <v>92</v>
      </c>
      <c r="KF22" s="57">
        <f>[1]Q!$K28</f>
        <v>89</v>
      </c>
      <c r="KG22" s="58">
        <f>'[1]4Q'!KH11</f>
        <v>0</v>
      </c>
      <c r="KH22" s="59" t="str">
        <f t="shared" si="17"/>
        <v>PASSED</v>
      </c>
      <c r="KI22" s="59"/>
      <c r="KJ22" s="15"/>
      <c r="KM22" s="60" t="str">
        <f>[1]SUMMARY!$AT$1&amp;" "&amp;[1]SUMMARY!$AX$1</f>
        <v xml:space="preserve">Advanced Biology </v>
      </c>
      <c r="KN22" s="61"/>
      <c r="KO22" s="61"/>
      <c r="KP22" s="61"/>
      <c r="KQ22" s="62"/>
      <c r="KR22" s="14">
        <f>'[1]1Q'!$K29</f>
        <v>92</v>
      </c>
      <c r="KS22" s="14">
        <f>'[1]2Q'!$K29</f>
        <v>93</v>
      </c>
      <c r="KT22" s="16">
        <f>'[1]3Q'!$K29</f>
        <v>95</v>
      </c>
      <c r="KU22" s="14">
        <f>'[1]4Q'!$K29</f>
        <v>95</v>
      </c>
      <c r="KV22" s="57">
        <f>[1]Q!$K29</f>
        <v>94</v>
      </c>
      <c r="KW22" s="58"/>
      <c r="KX22" s="59" t="str">
        <f t="shared" si="18"/>
        <v>PASSED</v>
      </c>
      <c r="KY22" s="59"/>
      <c r="KZ22" s="15"/>
      <c r="LD22" s="60" t="str">
        <f>[1]SUMMARY!$AT$1&amp;" "&amp;[1]SUMMARY!$AX$1</f>
        <v xml:space="preserve">Advanced Biology </v>
      </c>
      <c r="LE22" s="61"/>
      <c r="LF22" s="61"/>
      <c r="LG22" s="61"/>
      <c r="LH22" s="62"/>
      <c r="LI22" s="14">
        <f>'[1]1Q'!$K30</f>
        <v>98</v>
      </c>
      <c r="LJ22" s="14">
        <f>'[1]2Q'!$K30</f>
        <v>99</v>
      </c>
      <c r="LK22" s="16">
        <f>'[1]3Q'!$K30</f>
        <v>99</v>
      </c>
      <c r="LL22" s="14">
        <f>'[1]4Q'!$K30</f>
        <v>98</v>
      </c>
      <c r="LM22" s="57">
        <f>[1]Q!$K30</f>
        <v>99</v>
      </c>
      <c r="LN22" s="58">
        <f>'[1]4Q'!LO11</f>
        <v>0</v>
      </c>
      <c r="LO22" s="59" t="str">
        <f t="shared" si="19"/>
        <v>PASSED</v>
      </c>
      <c r="LP22" s="59"/>
    </row>
    <row r="23" spans="1:330" s="9" customFormat="1" ht="15.6" x14ac:dyDescent="0.3">
      <c r="B23" s="60" t="str">
        <f>[1]SUMMARY!$AY$1&amp;" "&amp;[1]SUMMARY!$BC$1</f>
        <v>Research  3</v>
      </c>
      <c r="C23" s="61"/>
      <c r="D23" s="61"/>
      <c r="E23" s="61"/>
      <c r="F23" s="62"/>
      <c r="G23" s="14">
        <f>'[1]1Q'!$L11</f>
        <v>91</v>
      </c>
      <c r="H23" s="14">
        <f>'[1]2Q'!$L11</f>
        <v>93</v>
      </c>
      <c r="I23" s="14">
        <f>'[1]3Q'!$L11</f>
        <v>95</v>
      </c>
      <c r="J23" s="14">
        <f>'[1]4Q'!$L11</f>
        <v>96</v>
      </c>
      <c r="K23" s="57">
        <f>[1]Q!$L11</f>
        <v>94</v>
      </c>
      <c r="L23" s="58" t="e">
        <f>'[1]4Q'!#REF!</f>
        <v>#REF!</v>
      </c>
      <c r="M23" s="59" t="str">
        <f t="shared" si="0"/>
        <v>PASSED</v>
      </c>
      <c r="N23" s="59"/>
      <c r="S23" s="60" t="str">
        <f>[1]SUMMARY!$AY$1&amp;" "&amp;[1]SUMMARY!$BC$1</f>
        <v>Research  3</v>
      </c>
      <c r="T23" s="61"/>
      <c r="U23" s="61"/>
      <c r="V23" s="61"/>
      <c r="W23" s="62"/>
      <c r="X23" s="14">
        <f>'[1]1Q'!$L12</f>
        <v>86</v>
      </c>
      <c r="Y23" s="14">
        <f>'[1]2Q'!$L12</f>
        <v>89</v>
      </c>
      <c r="Z23" s="14">
        <f>'[1]3Q'!$L12</f>
        <v>93</v>
      </c>
      <c r="AA23" s="14">
        <f>'[1]4Q'!$L12</f>
        <v>95</v>
      </c>
      <c r="AB23" s="57">
        <f>[1]Q!$L12</f>
        <v>91</v>
      </c>
      <c r="AC23" s="58">
        <f>'[1]4Q'!AE11</f>
        <v>0</v>
      </c>
      <c r="AD23" s="59" t="str">
        <f t="shared" si="1"/>
        <v>PASSED</v>
      </c>
      <c r="AE23" s="59"/>
      <c r="AI23" s="60" t="str">
        <f>[1]SUMMARY!$AY$1&amp;" "&amp;[1]SUMMARY!$BC$1</f>
        <v>Research  3</v>
      </c>
      <c r="AJ23" s="61"/>
      <c r="AK23" s="61"/>
      <c r="AL23" s="61"/>
      <c r="AM23" s="62"/>
      <c r="AN23" s="14">
        <f>'[1]1Q'!$L13</f>
        <v>91</v>
      </c>
      <c r="AO23" s="14">
        <f>'[1]2Q'!$L13</f>
        <v>95</v>
      </c>
      <c r="AP23" s="14">
        <f>'[1]3Q'!$L13</f>
        <v>95</v>
      </c>
      <c r="AQ23" s="14">
        <f>'[1]4Q'!$L13</f>
        <v>96</v>
      </c>
      <c r="AR23" s="57">
        <f>[1]Q!$L13</f>
        <v>94</v>
      </c>
      <c r="AS23" s="58">
        <f>'[1]4Q'!AU11</f>
        <v>0</v>
      </c>
      <c r="AT23" s="59" t="str">
        <f t="shared" si="2"/>
        <v>PASSED</v>
      </c>
      <c r="AU23" s="59"/>
      <c r="AZ23" s="60" t="str">
        <f>[1]SUMMARY!$AY$1&amp;" "&amp;[1]SUMMARY!$BC$1</f>
        <v>Research  3</v>
      </c>
      <c r="BA23" s="61"/>
      <c r="BB23" s="61"/>
      <c r="BC23" s="61"/>
      <c r="BD23" s="62"/>
      <c r="BE23" s="14">
        <f>'[1]1Q'!$L14</f>
        <v>87</v>
      </c>
      <c r="BF23" s="14">
        <f>'[1]2Q'!$L14</f>
        <v>92</v>
      </c>
      <c r="BG23" s="14">
        <f>'[1]3Q'!$L14</f>
        <v>94</v>
      </c>
      <c r="BH23" s="14">
        <f>'[1]4Q'!$L14</f>
        <v>95</v>
      </c>
      <c r="BI23" s="57">
        <f>[1]Q!$L14</f>
        <v>92</v>
      </c>
      <c r="BJ23" s="58">
        <f>'[1]4Q'!BL11</f>
        <v>0</v>
      </c>
      <c r="BK23" s="59" t="str">
        <f t="shared" si="3"/>
        <v>PASSED</v>
      </c>
      <c r="BL23" s="59"/>
      <c r="BP23" s="60" t="str">
        <f>[1]SUMMARY!$AY$1&amp;" "&amp;[1]SUMMARY!$BC$1</f>
        <v>Research  3</v>
      </c>
      <c r="BQ23" s="61"/>
      <c r="BR23" s="61"/>
      <c r="BS23" s="61"/>
      <c r="BT23" s="62"/>
      <c r="BU23" s="14">
        <f>'[1]1Q'!$L15</f>
        <v>91</v>
      </c>
      <c r="BV23" s="14">
        <f>'[1]2Q'!$L15</f>
        <v>96</v>
      </c>
      <c r="BW23" s="14">
        <f>'[1]3Q'!$L15</f>
        <v>94</v>
      </c>
      <c r="BX23" s="14">
        <f>'[1]4Q'!$L15</f>
        <v>93</v>
      </c>
      <c r="BY23" s="57">
        <f>[1]Q!$L15</f>
        <v>94</v>
      </c>
      <c r="BZ23" s="58">
        <f>'[1]4Q'!CB11</f>
        <v>0</v>
      </c>
      <c r="CA23" s="59" t="str">
        <f t="shared" si="4"/>
        <v>PASSED</v>
      </c>
      <c r="CB23" s="59"/>
      <c r="CG23" s="60" t="str">
        <f>[1]SUMMARY!$AY$1&amp;" "&amp;[1]SUMMARY!$BC$1</f>
        <v>Research  3</v>
      </c>
      <c r="CH23" s="61"/>
      <c r="CI23" s="61"/>
      <c r="CJ23" s="61"/>
      <c r="CK23" s="62"/>
      <c r="CL23" s="14">
        <f>'[1]1Q'!$L16</f>
        <v>92</v>
      </c>
      <c r="CM23" s="14">
        <f>'[1]2Q'!$L16</f>
        <v>96</v>
      </c>
      <c r="CN23" s="14">
        <f>'[1]3Q'!$L16</f>
        <v>96</v>
      </c>
      <c r="CO23" s="14">
        <f>'[1]4Q'!$L16</f>
        <v>96</v>
      </c>
      <c r="CP23" s="57">
        <f>[1]Q!$L16</f>
        <v>95</v>
      </c>
      <c r="CQ23" s="58">
        <f>'[1]4Q'!CS11</f>
        <v>0</v>
      </c>
      <c r="CR23" s="59" t="str">
        <f t="shared" si="5"/>
        <v>PASSED</v>
      </c>
      <c r="CS23" s="59"/>
      <c r="CW23" s="60" t="str">
        <f>[1]SUMMARY!$AY$1&amp;" "&amp;[1]SUMMARY!$BC$1</f>
        <v>Research  3</v>
      </c>
      <c r="CX23" s="61"/>
      <c r="CY23" s="61"/>
      <c r="CZ23" s="61"/>
      <c r="DA23" s="62"/>
      <c r="DB23" s="14">
        <f>'[1]1Q'!$L17</f>
        <v>91</v>
      </c>
      <c r="DC23" s="14">
        <f>'[1]2Q'!$L17</f>
        <v>94</v>
      </c>
      <c r="DD23" s="14">
        <f>'[1]3Q'!$L17</f>
        <v>94</v>
      </c>
      <c r="DE23" s="14">
        <f>'[1]4Q'!$L17</f>
        <v>95</v>
      </c>
      <c r="DF23" s="57">
        <f>[1]Q!$L17</f>
        <v>94</v>
      </c>
      <c r="DG23" s="58">
        <f>'[1]4Q'!DI11</f>
        <v>0</v>
      </c>
      <c r="DH23" s="59" t="str">
        <f t="shared" si="6"/>
        <v>PASSED</v>
      </c>
      <c r="DI23" s="59"/>
      <c r="DN23" s="60" t="str">
        <f>[1]SUMMARY!$AY$1&amp;" "&amp;[1]SUMMARY!$BC$1</f>
        <v>Research  3</v>
      </c>
      <c r="DO23" s="61"/>
      <c r="DP23" s="61"/>
      <c r="DQ23" s="61"/>
      <c r="DR23" s="62"/>
      <c r="DS23" s="14">
        <f>'[1]1Q'!$L18</f>
        <v>87</v>
      </c>
      <c r="DT23" s="14">
        <f>'[1]2Q'!$L18</f>
        <v>92</v>
      </c>
      <c r="DU23" s="14">
        <f>'[1]3Q'!$L18</f>
        <v>95</v>
      </c>
      <c r="DV23" s="14">
        <f>'[1]4Q'!$L18</f>
        <v>94</v>
      </c>
      <c r="DW23" s="57">
        <f>[1]Q!$L18</f>
        <v>92</v>
      </c>
      <c r="DX23" s="58">
        <f>'[1]4Q'!DZ11</f>
        <v>0</v>
      </c>
      <c r="DY23" s="59" t="str">
        <f t="shared" si="7"/>
        <v>PASSED</v>
      </c>
      <c r="DZ23" s="59"/>
      <c r="ED23" s="60" t="str">
        <f>[1]SUMMARY!$AY$1&amp;" "&amp;[1]SUMMARY!$BC$1</f>
        <v>Research  3</v>
      </c>
      <c r="EE23" s="61"/>
      <c r="EF23" s="61"/>
      <c r="EG23" s="61"/>
      <c r="EH23" s="62"/>
      <c r="EI23" s="14">
        <f>'[1]1Q'!$L19</f>
        <v>87</v>
      </c>
      <c r="EJ23" s="14">
        <f>'[1]2Q'!$L19</f>
        <v>89</v>
      </c>
      <c r="EK23" s="14">
        <f>'[1]3Q'!$L19</f>
        <v>93</v>
      </c>
      <c r="EL23" s="14">
        <f>'[1]4Q'!$L19</f>
        <v>95</v>
      </c>
      <c r="EM23" s="57">
        <f>[1]Q!$L19</f>
        <v>91</v>
      </c>
      <c r="EN23" s="58">
        <f>'[1]4Q'!EP11</f>
        <v>0</v>
      </c>
      <c r="EO23" s="59" t="str">
        <f t="shared" si="8"/>
        <v>PASSED</v>
      </c>
      <c r="EP23" s="59"/>
      <c r="EU23" s="60" t="str">
        <f>[1]SUMMARY!$AY$1&amp;" "&amp;[1]SUMMARY!$BC$1</f>
        <v>Research  3</v>
      </c>
      <c r="EV23" s="61"/>
      <c r="EW23" s="61"/>
      <c r="EX23" s="61"/>
      <c r="EY23" s="62"/>
      <c r="EZ23" s="14">
        <f>'[1]1Q'!$L20</f>
        <v>91</v>
      </c>
      <c r="FA23" s="14">
        <f>'[1]2Q'!$L20</f>
        <v>95</v>
      </c>
      <c r="FB23" s="14">
        <f>'[1]3Q'!$L20</f>
        <v>95</v>
      </c>
      <c r="FC23" s="14">
        <f>'[1]4Q'!$L20</f>
        <v>96</v>
      </c>
      <c r="FD23" s="57">
        <f>[1]Q!$L20</f>
        <v>94</v>
      </c>
      <c r="FE23" s="58">
        <f>'[1]4Q'!FG11</f>
        <v>0</v>
      </c>
      <c r="FF23" s="59" t="str">
        <f t="shared" si="9"/>
        <v>PASSED</v>
      </c>
      <c r="FG23" s="59"/>
      <c r="FK23" s="60" t="str">
        <f>[1]SUMMARY!$AY$1&amp;" "&amp;[1]SUMMARY!$BC$1</f>
        <v>Research  3</v>
      </c>
      <c r="FL23" s="61"/>
      <c r="FM23" s="61"/>
      <c r="FN23" s="61"/>
      <c r="FO23" s="62"/>
      <c r="FP23" s="14">
        <f>'[1]1Q'!$L21</f>
        <v>91</v>
      </c>
      <c r="FQ23" s="14">
        <f>'[1]2Q'!$L21</f>
        <v>90</v>
      </c>
      <c r="FR23" s="14">
        <f>'[1]3Q'!$L21</f>
        <v>93</v>
      </c>
      <c r="FS23" s="14">
        <f>'[1]4Q'!$L21</f>
        <v>95</v>
      </c>
      <c r="FT23" s="57">
        <f>[1]Q!$L21</f>
        <v>92</v>
      </c>
      <c r="FU23" s="58">
        <f>'[1]4Q'!FW11</f>
        <v>0</v>
      </c>
      <c r="FV23" s="59" t="str">
        <f t="shared" si="10"/>
        <v>PASSED</v>
      </c>
      <c r="FW23" s="59"/>
      <c r="GB23" s="60" t="str">
        <f>[1]SUMMARY!$AY$1&amp;" "&amp;[1]SUMMARY!$BC$1</f>
        <v>Research  3</v>
      </c>
      <c r="GC23" s="61"/>
      <c r="GD23" s="61"/>
      <c r="GE23" s="61"/>
      <c r="GF23" s="62"/>
      <c r="GG23" s="14">
        <f>'[1]1Q'!$L22</f>
        <v>93</v>
      </c>
      <c r="GH23" s="14">
        <f>'[1]2Q'!$L22</f>
        <v>95</v>
      </c>
      <c r="GI23" s="14">
        <f>'[1]3Q'!$L22</f>
        <v>95</v>
      </c>
      <c r="GJ23" s="14">
        <f>'[1]4Q'!$L22</f>
        <v>96</v>
      </c>
      <c r="GK23" s="57">
        <f>[1]Q!$L22</f>
        <v>95</v>
      </c>
      <c r="GL23" s="58">
        <f>'[1]4Q'!GN11</f>
        <v>0</v>
      </c>
      <c r="GM23" s="59" t="str">
        <f t="shared" si="11"/>
        <v>PASSED</v>
      </c>
      <c r="GN23" s="59"/>
      <c r="GR23" s="60" t="str">
        <f>[1]SUMMARY!$AY$1&amp;" "&amp;[1]SUMMARY!$BC$1</f>
        <v>Research  3</v>
      </c>
      <c r="GS23" s="61"/>
      <c r="GT23" s="61"/>
      <c r="GU23" s="61"/>
      <c r="GV23" s="62"/>
      <c r="GW23" s="14">
        <f>'[1]1Q'!$L23</f>
        <v>91</v>
      </c>
      <c r="GX23" s="14">
        <f>'[1]2Q'!$L23</f>
        <v>92</v>
      </c>
      <c r="GY23" s="14">
        <f>'[1]3Q'!$L23</f>
        <v>94</v>
      </c>
      <c r="GZ23" s="14">
        <f>'[1]4Q'!$L23</f>
        <v>95</v>
      </c>
      <c r="HA23" s="57">
        <f>[1]Q!$L23</f>
        <v>93</v>
      </c>
      <c r="HB23" s="58">
        <f>'[1]4Q'!HD11</f>
        <v>0</v>
      </c>
      <c r="HC23" s="59" t="str">
        <f t="shared" si="12"/>
        <v>PASSED</v>
      </c>
      <c r="HD23" s="59"/>
      <c r="HI23" s="60" t="str">
        <f>[1]SUMMARY!$AY$1&amp;" "&amp;[1]SUMMARY!$BC$1</f>
        <v>Research  3</v>
      </c>
      <c r="HJ23" s="61"/>
      <c r="HK23" s="61"/>
      <c r="HL23" s="61"/>
      <c r="HM23" s="62"/>
      <c r="HN23" s="14">
        <f>'[1]1Q'!$L24</f>
        <v>91</v>
      </c>
      <c r="HO23" s="14">
        <f>'[1]2Q'!$L24</f>
        <v>95</v>
      </c>
      <c r="HP23" s="14">
        <f>'[1]3Q'!$L24</f>
        <v>96</v>
      </c>
      <c r="HQ23" s="14">
        <f>'[1]4Q'!$L24</f>
        <v>96</v>
      </c>
      <c r="HR23" s="57">
        <f>[1]Q!$L24</f>
        <v>95</v>
      </c>
      <c r="HS23" s="58">
        <f>'[1]4Q'!HU11</f>
        <v>0</v>
      </c>
      <c r="HT23" s="59" t="str">
        <f t="shared" si="13"/>
        <v>PASSED</v>
      </c>
      <c r="HU23" s="59"/>
      <c r="HY23" s="60" t="str">
        <f>[1]SUMMARY!$AY$1&amp;" "&amp;[1]SUMMARY!$BC$1</f>
        <v>Research  3</v>
      </c>
      <c r="HZ23" s="61"/>
      <c r="IA23" s="61"/>
      <c r="IB23" s="61"/>
      <c r="IC23" s="62"/>
      <c r="ID23" s="14">
        <f>'[1]1Q'!$L25</f>
        <v>91</v>
      </c>
      <c r="IE23" s="14">
        <f>'[1]2Q'!$L25</f>
        <v>92</v>
      </c>
      <c r="IF23" s="14">
        <f>'[1]3Q'!$L25</f>
        <v>94</v>
      </c>
      <c r="IG23" s="14">
        <f>'[1]4Q'!$L25</f>
        <v>95</v>
      </c>
      <c r="IH23" s="57">
        <f>[1]Q!$L25</f>
        <v>93</v>
      </c>
      <c r="II23" s="58">
        <f>'[1]4Q'!IK11</f>
        <v>0</v>
      </c>
      <c r="IJ23" s="59" t="str">
        <f t="shared" si="14"/>
        <v>PASSED</v>
      </c>
      <c r="IK23" s="59"/>
      <c r="IP23" s="60" t="str">
        <f>[1]SUMMARY!$AY$1&amp;" "&amp;[1]SUMMARY!$BC$1</f>
        <v>Research  3</v>
      </c>
      <c r="IQ23" s="61"/>
      <c r="IR23" s="61"/>
      <c r="IS23" s="61"/>
      <c r="IT23" s="62"/>
      <c r="IU23" s="14">
        <f>'[1]1Q'!$L26</f>
        <v>91</v>
      </c>
      <c r="IV23" s="14">
        <f>'[1]2Q'!$L26</f>
        <v>94</v>
      </c>
      <c r="IW23" s="14">
        <f>'[1]3Q'!$L26</f>
        <v>95</v>
      </c>
      <c r="IX23" s="14">
        <f>'[1]4Q'!$L26</f>
        <v>94</v>
      </c>
      <c r="IY23" s="57">
        <f>[1]Q!$L26</f>
        <v>94</v>
      </c>
      <c r="IZ23" s="58">
        <f>'[1]4Q'!JB11</f>
        <v>0</v>
      </c>
      <c r="JA23" s="59" t="str">
        <f t="shared" si="15"/>
        <v>PASSED</v>
      </c>
      <c r="JB23" s="59"/>
      <c r="JF23" s="60" t="str">
        <f>[1]SUMMARY!$AY$1&amp;" "&amp;[1]SUMMARY!$BC$1</f>
        <v>Research  3</v>
      </c>
      <c r="JG23" s="61"/>
      <c r="JH23" s="61"/>
      <c r="JI23" s="61"/>
      <c r="JJ23" s="62"/>
      <c r="JK23" s="14">
        <f>'[1]1Q'!$L27</f>
        <v>92</v>
      </c>
      <c r="JL23" s="14">
        <f>'[1]2Q'!$L27</f>
        <v>97</v>
      </c>
      <c r="JM23" s="14">
        <f>'[1]3Q'!$L27</f>
        <v>95</v>
      </c>
      <c r="JN23" s="14">
        <f>'[1]4Q'!$L27</f>
        <v>96</v>
      </c>
      <c r="JO23" s="57">
        <f>[1]Q!$L27</f>
        <v>95</v>
      </c>
      <c r="JP23" s="58">
        <f>'[1]4Q'!JR11</f>
        <v>0</v>
      </c>
      <c r="JQ23" s="59" t="str">
        <f t="shared" si="16"/>
        <v>PASSED</v>
      </c>
      <c r="JR23" s="59"/>
      <c r="JS23" s="12"/>
      <c r="JW23" s="60" t="str">
        <f>[1]SUMMARY!$AY$1&amp;" "&amp;[1]SUMMARY!$BC$1</f>
        <v>Research  3</v>
      </c>
      <c r="JX23" s="61"/>
      <c r="JY23" s="61"/>
      <c r="JZ23" s="61"/>
      <c r="KA23" s="62"/>
      <c r="KB23" s="14">
        <f>'[1]1Q'!$L28</f>
        <v>91</v>
      </c>
      <c r="KC23" s="14">
        <f>'[1]2Q'!$L28</f>
        <v>95</v>
      </c>
      <c r="KD23" s="14">
        <f>'[1]3Q'!$L28</f>
        <v>95</v>
      </c>
      <c r="KE23" s="14">
        <f>'[1]4Q'!$L28</f>
        <v>96</v>
      </c>
      <c r="KF23" s="57">
        <f>[1]Q!$L28</f>
        <v>94</v>
      </c>
      <c r="KG23" s="58">
        <f>'[1]4Q'!KI11</f>
        <v>0</v>
      </c>
      <c r="KH23" s="59" t="str">
        <f t="shared" si="17"/>
        <v>PASSED</v>
      </c>
      <c r="KI23" s="59"/>
      <c r="KJ23" s="15"/>
      <c r="KM23" s="60" t="str">
        <f>[1]SUMMARY!$AY$1&amp;" "&amp;[1]SUMMARY!$BC$1</f>
        <v>Research  3</v>
      </c>
      <c r="KN23" s="61"/>
      <c r="KO23" s="61"/>
      <c r="KP23" s="61"/>
      <c r="KQ23" s="62"/>
      <c r="KR23" s="14">
        <f>'[1]1Q'!$L29</f>
        <v>89</v>
      </c>
      <c r="KS23" s="14">
        <f>'[1]2Q'!$L29</f>
        <v>92</v>
      </c>
      <c r="KT23" s="14">
        <f>'[1]3Q'!$L29</f>
        <v>93</v>
      </c>
      <c r="KU23" s="14">
        <f>'[1]4Q'!$L29</f>
        <v>95</v>
      </c>
      <c r="KV23" s="57">
        <f>[1]Q!$L29</f>
        <v>92</v>
      </c>
      <c r="KW23" s="58"/>
      <c r="KX23" s="59" t="str">
        <f t="shared" si="18"/>
        <v>PASSED</v>
      </c>
      <c r="KY23" s="59"/>
      <c r="KZ23" s="15"/>
      <c r="LD23" s="60" t="str">
        <f>[1]SUMMARY!$AY$1&amp;" "&amp;[1]SUMMARY!$BC$1</f>
        <v>Research  3</v>
      </c>
      <c r="LE23" s="61"/>
      <c r="LF23" s="61"/>
      <c r="LG23" s="61"/>
      <c r="LH23" s="62"/>
      <c r="LI23" s="14">
        <f>'[1]1Q'!$L30</f>
        <v>93</v>
      </c>
      <c r="LJ23" s="14">
        <f>'[1]2Q'!$L30</f>
        <v>96</v>
      </c>
      <c r="LK23" s="14">
        <f>'[1]3Q'!$L30</f>
        <v>95</v>
      </c>
      <c r="LL23" s="14">
        <f>'[1]4Q'!$L30</f>
        <v>96</v>
      </c>
      <c r="LM23" s="57">
        <f>[1]Q!$L30</f>
        <v>95</v>
      </c>
      <c r="LN23" s="58">
        <f>'[1]4Q'!LP11</f>
        <v>0</v>
      </c>
      <c r="LO23" s="59" t="str">
        <f t="shared" si="19"/>
        <v>PASSED</v>
      </c>
      <c r="LP23" s="59"/>
    </row>
    <row r="24" spans="1:330" s="9" customFormat="1" ht="21" x14ac:dyDescent="0.3">
      <c r="A24" s="18"/>
      <c r="B24" s="19"/>
      <c r="C24" s="19"/>
      <c r="D24" s="19"/>
      <c r="E24" s="19"/>
      <c r="F24" s="19"/>
      <c r="G24" s="20" t="s">
        <v>16</v>
      </c>
      <c r="H24" s="20"/>
      <c r="I24" s="20"/>
      <c r="J24" s="20"/>
      <c r="K24" s="41">
        <f>[1]Q!$M11</f>
        <v>92</v>
      </c>
      <c r="L24" s="41"/>
      <c r="M24" s="19"/>
      <c r="N24" s="19"/>
      <c r="O24" s="21"/>
      <c r="P24" s="21"/>
      <c r="Q24" s="18"/>
      <c r="R24" s="18"/>
      <c r="S24" s="19"/>
      <c r="T24" s="19"/>
      <c r="U24" s="19"/>
      <c r="V24" s="19"/>
      <c r="W24" s="19"/>
      <c r="X24" s="20" t="s">
        <v>16</v>
      </c>
      <c r="Y24" s="20"/>
      <c r="Z24" s="20"/>
      <c r="AA24" s="20"/>
      <c r="AB24" s="41">
        <f>[1]Q!$M12</f>
        <v>90</v>
      </c>
      <c r="AC24" s="41"/>
      <c r="AD24" s="19"/>
      <c r="AE24" s="19"/>
      <c r="AF24" s="21"/>
      <c r="AG24" s="21"/>
      <c r="AH24" s="18"/>
      <c r="AI24" s="19"/>
      <c r="AJ24" s="19"/>
      <c r="AK24" s="19"/>
      <c r="AL24" s="19"/>
      <c r="AM24" s="19"/>
      <c r="AN24" s="20" t="s">
        <v>16</v>
      </c>
      <c r="AO24" s="20"/>
      <c r="AP24" s="20"/>
      <c r="AQ24" s="20"/>
      <c r="AR24" s="41">
        <f>[1]Q!$M13</f>
        <v>96</v>
      </c>
      <c r="AS24" s="41"/>
      <c r="AT24" s="19"/>
      <c r="AU24" s="19"/>
      <c r="AV24" s="21"/>
      <c r="AW24" s="21"/>
      <c r="AX24" s="18"/>
      <c r="AY24" s="18"/>
      <c r="AZ24" s="19"/>
      <c r="BA24" s="19"/>
      <c r="BB24" s="19"/>
      <c r="BC24" s="19"/>
      <c r="BD24" s="19"/>
      <c r="BE24" s="20" t="s">
        <v>16</v>
      </c>
      <c r="BF24" s="20"/>
      <c r="BG24" s="20"/>
      <c r="BH24" s="20"/>
      <c r="BI24" s="41">
        <f>[1]Q!$M14</f>
        <v>91</v>
      </c>
      <c r="BJ24" s="41"/>
      <c r="BK24" s="19"/>
      <c r="BL24" s="19"/>
      <c r="BM24" s="21"/>
      <c r="BN24" s="21"/>
      <c r="BO24" s="18"/>
      <c r="BP24" s="19"/>
      <c r="BQ24" s="19"/>
      <c r="BR24" s="19"/>
      <c r="BS24" s="19"/>
      <c r="BT24" s="19"/>
      <c r="BU24" s="20" t="s">
        <v>16</v>
      </c>
      <c r="BV24" s="20"/>
      <c r="BW24" s="20"/>
      <c r="BX24" s="20"/>
      <c r="BY24" s="41">
        <f>[1]Q!$M15</f>
        <v>94</v>
      </c>
      <c r="BZ24" s="41"/>
      <c r="CA24" s="19"/>
      <c r="CB24" s="19"/>
      <c r="CC24" s="21"/>
      <c r="CD24" s="21"/>
      <c r="CE24" s="18"/>
      <c r="CF24" s="18"/>
      <c r="CG24" s="19"/>
      <c r="CH24" s="19"/>
      <c r="CI24" s="19"/>
      <c r="CJ24" s="19"/>
      <c r="CK24" s="19"/>
      <c r="CL24" s="20" t="s">
        <v>16</v>
      </c>
      <c r="CM24" s="20"/>
      <c r="CN24" s="20"/>
      <c r="CO24" s="20"/>
      <c r="CP24" s="41">
        <f>[1]Q!$M16</f>
        <v>95</v>
      </c>
      <c r="CQ24" s="41"/>
      <c r="CR24" s="19"/>
      <c r="CS24" s="19"/>
      <c r="CT24" s="21"/>
      <c r="CU24" s="21"/>
      <c r="CV24" s="18"/>
      <c r="CW24" s="19"/>
      <c r="CX24" s="19"/>
      <c r="CY24" s="19"/>
      <c r="CZ24" s="19"/>
      <c r="DA24" s="19"/>
      <c r="DB24" s="20" t="s">
        <v>16</v>
      </c>
      <c r="DC24" s="20"/>
      <c r="DD24" s="20"/>
      <c r="DE24" s="20"/>
      <c r="DF24" s="41">
        <f>[1]Q!$M17</f>
        <v>94</v>
      </c>
      <c r="DG24" s="41"/>
      <c r="DH24" s="19"/>
      <c r="DI24" s="19"/>
      <c r="DJ24" s="21"/>
      <c r="DK24" s="21"/>
      <c r="DL24" s="18"/>
      <c r="DM24" s="18"/>
      <c r="DN24" s="19"/>
      <c r="DO24" s="19"/>
      <c r="DP24" s="19"/>
      <c r="DQ24" s="19"/>
      <c r="DR24" s="19"/>
      <c r="DS24" s="20" t="s">
        <v>16</v>
      </c>
      <c r="DT24" s="20"/>
      <c r="DU24" s="20"/>
      <c r="DV24" s="20"/>
      <c r="DW24" s="41">
        <f>[1]Q!$M18</f>
        <v>91</v>
      </c>
      <c r="DX24" s="41"/>
      <c r="DY24" s="19"/>
      <c r="DZ24" s="19"/>
      <c r="EA24" s="21"/>
      <c r="EB24" s="21"/>
      <c r="EC24" s="21"/>
      <c r="ED24" s="19"/>
      <c r="EE24" s="19"/>
      <c r="EF24" s="19"/>
      <c r="EG24" s="19"/>
      <c r="EH24" s="19"/>
      <c r="EI24" s="20" t="s">
        <v>16</v>
      </c>
      <c r="EJ24" s="20"/>
      <c r="EK24" s="20"/>
      <c r="EL24" s="20"/>
      <c r="EM24" s="41">
        <f>[1]Q!$M19</f>
        <v>90</v>
      </c>
      <c r="EN24" s="41"/>
      <c r="EO24" s="19"/>
      <c r="EP24" s="19"/>
      <c r="EQ24" s="21"/>
      <c r="ER24" s="21"/>
      <c r="ES24" s="18"/>
      <c r="ET24" s="18"/>
      <c r="EU24" s="19"/>
      <c r="EV24" s="19"/>
      <c r="EW24" s="19"/>
      <c r="EX24" s="19"/>
      <c r="EY24" s="19"/>
      <c r="EZ24" s="20" t="s">
        <v>16</v>
      </c>
      <c r="FA24" s="20"/>
      <c r="FB24" s="20"/>
      <c r="FC24" s="20"/>
      <c r="FD24" s="41">
        <f>[1]Q!$M20</f>
        <v>95</v>
      </c>
      <c r="FE24" s="41"/>
      <c r="FF24" s="19"/>
      <c r="FG24" s="19"/>
      <c r="FH24" s="21"/>
      <c r="FI24" s="21"/>
      <c r="FJ24" s="18"/>
      <c r="FK24" s="19"/>
      <c r="FL24" s="19"/>
      <c r="FM24" s="19"/>
      <c r="FN24" s="19"/>
      <c r="FO24" s="19"/>
      <c r="FP24" s="20" t="s">
        <v>16</v>
      </c>
      <c r="FQ24" s="20"/>
      <c r="FR24" s="20"/>
      <c r="FS24" s="20"/>
      <c r="FT24" s="41">
        <f>[1]Q!$M21</f>
        <v>92</v>
      </c>
      <c r="FU24" s="41"/>
      <c r="FV24" s="19"/>
      <c r="FW24" s="19"/>
      <c r="FX24" s="21"/>
      <c r="FY24" s="21"/>
      <c r="FZ24" s="18"/>
      <c r="GA24" s="18"/>
      <c r="GB24" s="19"/>
      <c r="GC24" s="19"/>
      <c r="GD24" s="19"/>
      <c r="GE24" s="19"/>
      <c r="GF24" s="19"/>
      <c r="GG24" s="20" t="s">
        <v>16</v>
      </c>
      <c r="GH24" s="20"/>
      <c r="GI24" s="20"/>
      <c r="GJ24" s="20"/>
      <c r="GK24" s="41">
        <f>[1]Q!$M22</f>
        <v>95</v>
      </c>
      <c r="GL24" s="41"/>
      <c r="GM24" s="19"/>
      <c r="GN24" s="19"/>
      <c r="GO24" s="21"/>
      <c r="GP24" s="21"/>
      <c r="GQ24" s="18"/>
      <c r="GR24" s="19"/>
      <c r="GS24" s="19"/>
      <c r="GT24" s="19"/>
      <c r="GU24" s="19"/>
      <c r="GV24" s="19"/>
      <c r="GW24" s="20" t="s">
        <v>16</v>
      </c>
      <c r="GX24" s="20"/>
      <c r="GY24" s="20"/>
      <c r="GZ24" s="20"/>
      <c r="HA24" s="41">
        <f>[1]Q!$M23</f>
        <v>93</v>
      </c>
      <c r="HB24" s="41"/>
      <c r="HC24" s="19"/>
      <c r="HD24" s="19"/>
      <c r="HE24" s="21"/>
      <c r="HF24" s="21"/>
      <c r="HG24" s="18"/>
      <c r="HH24" s="18"/>
      <c r="HI24" s="19"/>
      <c r="HJ24" s="19"/>
      <c r="HK24" s="19"/>
      <c r="HL24" s="19"/>
      <c r="HM24" s="19"/>
      <c r="HN24" s="20" t="s">
        <v>16</v>
      </c>
      <c r="HO24" s="20"/>
      <c r="HP24" s="20"/>
      <c r="HQ24" s="20"/>
      <c r="HR24" s="41">
        <f>[1]Q!$M24</f>
        <v>95</v>
      </c>
      <c r="HS24" s="41"/>
      <c r="HT24" s="19"/>
      <c r="HU24" s="19"/>
      <c r="HV24" s="21"/>
      <c r="HW24" s="21"/>
      <c r="HX24" s="18"/>
      <c r="HY24" s="19"/>
      <c r="HZ24" s="19"/>
      <c r="IA24" s="19"/>
      <c r="IB24" s="19"/>
      <c r="IC24" s="19"/>
      <c r="ID24" s="20" t="s">
        <v>16</v>
      </c>
      <c r="IE24" s="20"/>
      <c r="IF24" s="20"/>
      <c r="IG24" s="20"/>
      <c r="IH24" s="41">
        <f>[1]Q!$M25</f>
        <v>93</v>
      </c>
      <c r="II24" s="41"/>
      <c r="IJ24" s="19"/>
      <c r="IK24" s="19"/>
      <c r="IL24" s="21"/>
      <c r="IM24" s="21"/>
      <c r="IN24" s="18"/>
      <c r="IO24" s="18"/>
      <c r="IP24" s="19"/>
      <c r="IQ24" s="19"/>
      <c r="IR24" s="19"/>
      <c r="IS24" s="19"/>
      <c r="IT24" s="19"/>
      <c r="IU24" s="20" t="s">
        <v>16</v>
      </c>
      <c r="IV24" s="20"/>
      <c r="IW24" s="20"/>
      <c r="IX24" s="20"/>
      <c r="IY24" s="41">
        <f>[1]Q!$M26</f>
        <v>95</v>
      </c>
      <c r="IZ24" s="41"/>
      <c r="JA24" s="19"/>
      <c r="JB24" s="19"/>
      <c r="JC24" s="21"/>
      <c r="JD24" s="21"/>
      <c r="JE24" s="22"/>
      <c r="JF24" s="19"/>
      <c r="JG24" s="19"/>
      <c r="JH24" s="19"/>
      <c r="JI24" s="19"/>
      <c r="JJ24" s="19"/>
      <c r="JK24" s="20" t="s">
        <v>16</v>
      </c>
      <c r="JL24" s="20"/>
      <c r="JM24" s="20"/>
      <c r="JN24" s="20"/>
      <c r="JO24" s="41">
        <f>[1]Q!$M27</f>
        <v>95</v>
      </c>
      <c r="JP24" s="41"/>
      <c r="JQ24" s="19"/>
      <c r="JR24" s="19"/>
      <c r="JS24" s="21"/>
      <c r="JT24" s="21"/>
      <c r="JU24" s="18"/>
      <c r="JV24" s="18"/>
      <c r="JW24" s="19"/>
      <c r="JX24" s="19"/>
      <c r="JY24" s="19"/>
      <c r="JZ24" s="19"/>
      <c r="KA24" s="19"/>
      <c r="KB24" s="20" t="s">
        <v>16</v>
      </c>
      <c r="KC24" s="20"/>
      <c r="KD24" s="20"/>
      <c r="KE24" s="20"/>
      <c r="KF24" s="41">
        <f>[1]Q!$M28</f>
        <v>92</v>
      </c>
      <c r="KG24" s="41"/>
      <c r="KH24" s="19"/>
      <c r="KI24" s="19"/>
      <c r="KJ24" s="21"/>
      <c r="KK24" s="23"/>
      <c r="KL24" s="22"/>
      <c r="KM24" s="19"/>
      <c r="KN24" s="19"/>
      <c r="KO24" s="19"/>
      <c r="KP24" s="19"/>
      <c r="KQ24" s="19"/>
      <c r="KR24" s="20" t="s">
        <v>16</v>
      </c>
      <c r="KS24" s="20"/>
      <c r="KT24" s="20"/>
      <c r="KU24" s="20"/>
      <c r="KV24" s="41">
        <f>[1]Q!$M29</f>
        <v>92</v>
      </c>
      <c r="KW24" s="41"/>
      <c r="KX24" s="19"/>
      <c r="KY24" s="19"/>
      <c r="KZ24" s="21"/>
      <c r="LA24" s="21"/>
      <c r="LB24" s="18"/>
      <c r="LC24" s="18"/>
      <c r="LD24" s="19"/>
      <c r="LE24" s="19"/>
      <c r="LF24" s="19"/>
      <c r="LG24" s="19"/>
      <c r="LH24" s="19"/>
      <c r="LI24" s="20" t="s">
        <v>16</v>
      </c>
      <c r="LJ24" s="20"/>
      <c r="LK24" s="20"/>
      <c r="LL24" s="20"/>
      <c r="LM24" s="41">
        <f>[1]Q!$M30</f>
        <v>96</v>
      </c>
      <c r="LN24" s="41"/>
      <c r="LO24" s="19"/>
      <c r="LP24" s="19"/>
      <c r="LQ24" s="21"/>
      <c r="LR24" s="21"/>
    </row>
    <row r="25" spans="1:330" s="9" customFormat="1" x14ac:dyDescent="0.3">
      <c r="B25" s="42" t="s">
        <v>17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S25" s="42" t="s">
        <v>17</v>
      </c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I25" s="42" t="s">
        <v>17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Z25" s="42" t="s">
        <v>17</v>
      </c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P25" s="42" t="s">
        <v>17</v>
      </c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G25" s="42" t="s">
        <v>17</v>
      </c>
      <c r="CH25" s="42"/>
      <c r="CI25" s="42"/>
      <c r="CJ25" s="42"/>
      <c r="CK25" s="42"/>
      <c r="CL25" s="42"/>
      <c r="CM25" s="42"/>
      <c r="CN25" s="42"/>
      <c r="CO25" s="42"/>
      <c r="CP25" s="42"/>
      <c r="CQ25" s="42"/>
      <c r="CR25" s="42"/>
      <c r="CS25" s="42"/>
      <c r="CT25" s="42"/>
      <c r="CU25" s="42"/>
      <c r="CW25" s="42" t="s">
        <v>17</v>
      </c>
      <c r="CX25" s="42"/>
      <c r="CY25" s="42"/>
      <c r="CZ25" s="42"/>
      <c r="DA25" s="42"/>
      <c r="DB25" s="42"/>
      <c r="DC25" s="42"/>
      <c r="DD25" s="42"/>
      <c r="DE25" s="42"/>
      <c r="DF25" s="42"/>
      <c r="DG25" s="42"/>
      <c r="DH25" s="42"/>
      <c r="DI25" s="42"/>
      <c r="DJ25" s="42"/>
      <c r="DK25" s="42"/>
      <c r="DN25" s="42" t="s">
        <v>17</v>
      </c>
      <c r="DO25" s="42"/>
      <c r="DP25" s="42"/>
      <c r="DQ25" s="42"/>
      <c r="DR25" s="42"/>
      <c r="DS25" s="42"/>
      <c r="DT25" s="42"/>
      <c r="DU25" s="42"/>
      <c r="DV25" s="42"/>
      <c r="DW25" s="42"/>
      <c r="DX25" s="42"/>
      <c r="DY25" s="42"/>
      <c r="DZ25" s="42"/>
      <c r="EA25" s="42"/>
      <c r="EB25" s="42"/>
      <c r="ED25" s="42" t="s">
        <v>17</v>
      </c>
      <c r="EE25" s="42"/>
      <c r="EF25" s="42"/>
      <c r="EG25" s="42"/>
      <c r="EH25" s="42"/>
      <c r="EI25" s="42"/>
      <c r="EJ25" s="42"/>
      <c r="EK25" s="42"/>
      <c r="EL25" s="42"/>
      <c r="EM25" s="42"/>
      <c r="EN25" s="42"/>
      <c r="EO25" s="42"/>
      <c r="EP25" s="42"/>
      <c r="EQ25" s="42"/>
      <c r="ER25" s="42"/>
      <c r="EU25" s="42" t="s">
        <v>17</v>
      </c>
      <c r="EV25" s="42"/>
      <c r="EW25" s="42"/>
      <c r="EX25" s="42"/>
      <c r="EY25" s="42"/>
      <c r="EZ25" s="42"/>
      <c r="FA25" s="42"/>
      <c r="FB25" s="42"/>
      <c r="FC25" s="42"/>
      <c r="FD25" s="42"/>
      <c r="FE25" s="42"/>
      <c r="FF25" s="42"/>
      <c r="FG25" s="42"/>
      <c r="FH25" s="42"/>
      <c r="FI25" s="42"/>
      <c r="FK25" s="42" t="s">
        <v>17</v>
      </c>
      <c r="FL25" s="42"/>
      <c r="FM25" s="42"/>
      <c r="FN25" s="42"/>
      <c r="FO25" s="42"/>
      <c r="FP25" s="42"/>
      <c r="FQ25" s="42"/>
      <c r="FR25" s="42"/>
      <c r="FS25" s="42"/>
      <c r="FT25" s="42"/>
      <c r="FU25" s="42"/>
      <c r="FV25" s="42"/>
      <c r="FW25" s="42"/>
      <c r="FX25" s="42"/>
      <c r="FY25" s="42"/>
      <c r="GB25" s="42" t="s">
        <v>17</v>
      </c>
      <c r="GC25" s="42"/>
      <c r="GD25" s="42"/>
      <c r="GE25" s="42"/>
      <c r="GF25" s="42"/>
      <c r="GG25" s="42"/>
      <c r="GH25" s="42"/>
      <c r="GI25" s="42"/>
      <c r="GJ25" s="42"/>
      <c r="GK25" s="42"/>
      <c r="GL25" s="42"/>
      <c r="GM25" s="42"/>
      <c r="GN25" s="42"/>
      <c r="GO25" s="42"/>
      <c r="GP25" s="42"/>
      <c r="GR25" s="42" t="s">
        <v>17</v>
      </c>
      <c r="GS25" s="42"/>
      <c r="GT25" s="42"/>
      <c r="GU25" s="42"/>
      <c r="GV25" s="42"/>
      <c r="GW25" s="42"/>
      <c r="GX25" s="42"/>
      <c r="GY25" s="42"/>
      <c r="GZ25" s="42"/>
      <c r="HA25" s="42"/>
      <c r="HB25" s="42"/>
      <c r="HC25" s="42"/>
      <c r="HD25" s="42"/>
      <c r="HE25" s="42"/>
      <c r="HF25" s="42"/>
      <c r="HI25" s="42" t="s">
        <v>17</v>
      </c>
      <c r="HJ25" s="42"/>
      <c r="HK25" s="42"/>
      <c r="HL25" s="42"/>
      <c r="HM25" s="42"/>
      <c r="HN25" s="42"/>
      <c r="HO25" s="42"/>
      <c r="HP25" s="42"/>
      <c r="HQ25" s="42"/>
      <c r="HR25" s="42"/>
      <c r="HS25" s="42"/>
      <c r="HT25" s="42"/>
      <c r="HU25" s="42"/>
      <c r="HV25" s="42"/>
      <c r="HW25" s="42"/>
      <c r="HY25" s="42" t="s">
        <v>17</v>
      </c>
      <c r="HZ25" s="42"/>
      <c r="IA25" s="42"/>
      <c r="IB25" s="42"/>
      <c r="IC25" s="42"/>
      <c r="ID25" s="42"/>
      <c r="IE25" s="42"/>
      <c r="IF25" s="42"/>
      <c r="IG25" s="42"/>
      <c r="IH25" s="42"/>
      <c r="II25" s="42"/>
      <c r="IJ25" s="42"/>
      <c r="IK25" s="42"/>
      <c r="IL25" s="42"/>
      <c r="IM25" s="42"/>
      <c r="IP25" s="42" t="s">
        <v>17</v>
      </c>
      <c r="IQ25" s="42"/>
      <c r="IR25" s="42"/>
      <c r="IS25" s="42"/>
      <c r="IT25" s="42"/>
      <c r="IU25" s="42"/>
      <c r="IV25" s="42"/>
      <c r="IW25" s="42"/>
      <c r="IX25" s="42"/>
      <c r="IY25" s="42"/>
      <c r="IZ25" s="42"/>
      <c r="JA25" s="42"/>
      <c r="JB25" s="42"/>
      <c r="JC25" s="42"/>
      <c r="JD25" s="42"/>
      <c r="JF25" s="86" t="s">
        <v>17</v>
      </c>
      <c r="JG25" s="86"/>
      <c r="JH25" s="87"/>
      <c r="JI25" s="87"/>
      <c r="JJ25" s="87"/>
      <c r="JK25" s="87"/>
      <c r="JL25" s="87"/>
      <c r="JM25" s="87"/>
      <c r="JN25" s="87"/>
      <c r="JO25" s="87"/>
      <c r="JP25" s="87"/>
      <c r="JQ25" s="87"/>
      <c r="JR25" s="87"/>
      <c r="JS25" s="87"/>
      <c r="JT25" s="88"/>
      <c r="JW25" s="86" t="s">
        <v>17</v>
      </c>
      <c r="JX25" s="86"/>
      <c r="JY25" s="87"/>
      <c r="JZ25" s="87"/>
      <c r="KA25" s="87"/>
      <c r="KB25" s="87"/>
      <c r="KC25" s="87"/>
      <c r="KD25" s="87"/>
      <c r="KE25" s="87"/>
      <c r="KF25" s="87"/>
      <c r="KG25" s="87"/>
      <c r="KH25" s="87"/>
      <c r="KI25" s="87"/>
      <c r="KJ25" s="87"/>
      <c r="KK25" s="88"/>
      <c r="KM25" s="42" t="s">
        <v>17</v>
      </c>
      <c r="KN25" s="42"/>
      <c r="KO25" s="42"/>
      <c r="KP25" s="42"/>
      <c r="KQ25" s="42"/>
      <c r="KR25" s="42"/>
      <c r="KS25" s="42"/>
      <c r="KT25" s="42"/>
      <c r="KU25" s="42"/>
      <c r="KV25" s="42"/>
      <c r="KW25" s="42"/>
      <c r="KX25" s="42"/>
      <c r="KY25" s="42"/>
      <c r="KZ25" s="42"/>
      <c r="LA25" s="42"/>
      <c r="LD25" s="42" t="s">
        <v>17</v>
      </c>
      <c r="LE25" s="42"/>
      <c r="LF25" s="42"/>
      <c r="LG25" s="42"/>
      <c r="LH25" s="42"/>
      <c r="LI25" s="42"/>
      <c r="LJ25" s="42"/>
      <c r="LK25" s="42"/>
      <c r="LL25" s="42"/>
      <c r="LM25" s="42"/>
      <c r="LN25" s="42"/>
      <c r="LO25" s="42"/>
      <c r="LP25" s="42"/>
      <c r="LQ25" s="42"/>
      <c r="LR25" s="42"/>
    </row>
    <row r="26" spans="1:330" s="9" customFormat="1" ht="24" x14ac:dyDescent="0.3">
      <c r="A26" s="43"/>
      <c r="B26" s="44"/>
      <c r="C26" s="24" t="str">
        <f>[1]SUMMARY!$BI$3</f>
        <v>Jul</v>
      </c>
      <c r="D26" s="24" t="str">
        <f>[1]SUMMARY!$BJ$3</f>
        <v>Aug</v>
      </c>
      <c r="E26" s="24" t="str">
        <f>[1]SUMMARY!$BK$3</f>
        <v>Sep</v>
      </c>
      <c r="F26" s="24" t="str">
        <f>[1]SUMMARY!$BL$3</f>
        <v>Oct</v>
      </c>
      <c r="G26" s="24" t="str">
        <f>[1]SUMMARY!$BM$3</f>
        <v>Nov</v>
      </c>
      <c r="H26" s="24" t="str">
        <f>[1]SUMMARY!$BN$3</f>
        <v>Dec</v>
      </c>
      <c r="I26" s="24" t="str">
        <f>[1]SUMMARY!$BO$3</f>
        <v>Jan</v>
      </c>
      <c r="J26" s="24" t="str">
        <f>[1]SUMMARY!$BP$3</f>
        <v>Feb</v>
      </c>
      <c r="K26" s="24" t="str">
        <f>[1]SUMMARY!$BQ$3</f>
        <v>Mar</v>
      </c>
      <c r="L26" s="24" t="str">
        <f>[1]SUMMARY!$BR$3</f>
        <v>Apr</v>
      </c>
      <c r="M26" s="24">
        <f>[1]SUMMARY!$BS$3</f>
        <v>0</v>
      </c>
      <c r="N26" s="24">
        <f>[1]SUMMARY!$BT$3</f>
        <v>0</v>
      </c>
      <c r="O26" s="45" t="s">
        <v>18</v>
      </c>
      <c r="P26" s="45"/>
      <c r="R26" s="43"/>
      <c r="S26" s="44"/>
      <c r="T26" s="24" t="str">
        <f>[1]SUMMARY!$BI$3</f>
        <v>Jul</v>
      </c>
      <c r="U26" s="24" t="str">
        <f>[1]SUMMARY!$BJ$3</f>
        <v>Aug</v>
      </c>
      <c r="V26" s="24" t="str">
        <f>[1]SUMMARY!$BK$3</f>
        <v>Sep</v>
      </c>
      <c r="W26" s="24" t="str">
        <f>[1]SUMMARY!$BL$3</f>
        <v>Oct</v>
      </c>
      <c r="X26" s="24" t="str">
        <f>[1]SUMMARY!$BM$3</f>
        <v>Nov</v>
      </c>
      <c r="Y26" s="24" t="str">
        <f>[1]SUMMARY!$BN$3</f>
        <v>Dec</v>
      </c>
      <c r="Z26" s="24" t="str">
        <f>[1]SUMMARY!$BO$3</f>
        <v>Jan</v>
      </c>
      <c r="AA26" s="24" t="str">
        <f>[1]SUMMARY!$BP$3</f>
        <v>Feb</v>
      </c>
      <c r="AB26" s="24" t="str">
        <f>[1]SUMMARY!$BQ$3</f>
        <v>Mar</v>
      </c>
      <c r="AC26" s="24" t="str">
        <f>[1]SUMMARY!$BR$3</f>
        <v>Apr</v>
      </c>
      <c r="AD26" s="24">
        <f>[1]SUMMARY!$BS$3</f>
        <v>0</v>
      </c>
      <c r="AE26" s="24">
        <f>[1]SUMMARY!$BT$3</f>
        <v>0</v>
      </c>
      <c r="AF26" s="45" t="s">
        <v>18</v>
      </c>
      <c r="AG26" s="45"/>
      <c r="AH26" s="43"/>
      <c r="AI26" s="44"/>
      <c r="AJ26" s="24" t="str">
        <f>[1]SUMMARY!$BI$3</f>
        <v>Jul</v>
      </c>
      <c r="AK26" s="24" t="str">
        <f>[1]SUMMARY!$BJ$3</f>
        <v>Aug</v>
      </c>
      <c r="AL26" s="24" t="str">
        <f>[1]SUMMARY!$BK$3</f>
        <v>Sep</v>
      </c>
      <c r="AM26" s="24" t="str">
        <f>[1]SUMMARY!$BL$3</f>
        <v>Oct</v>
      </c>
      <c r="AN26" s="24" t="str">
        <f>[1]SUMMARY!$BM$3</f>
        <v>Nov</v>
      </c>
      <c r="AO26" s="24" t="str">
        <f>[1]SUMMARY!$BN$3</f>
        <v>Dec</v>
      </c>
      <c r="AP26" s="24" t="str">
        <f>[1]SUMMARY!$BO$3</f>
        <v>Jan</v>
      </c>
      <c r="AQ26" s="24" t="str">
        <f>[1]SUMMARY!$BP$3</f>
        <v>Feb</v>
      </c>
      <c r="AR26" s="24" t="str">
        <f>[1]SUMMARY!$BQ$3</f>
        <v>Mar</v>
      </c>
      <c r="AS26" s="24" t="str">
        <f>[1]SUMMARY!$BR$3</f>
        <v>Apr</v>
      </c>
      <c r="AT26" s="24">
        <f>[1]SUMMARY!$BS$3</f>
        <v>0</v>
      </c>
      <c r="AU26" s="24">
        <f>[1]SUMMARY!$BT$3</f>
        <v>0</v>
      </c>
      <c r="AV26" s="45" t="s">
        <v>18</v>
      </c>
      <c r="AW26" s="45"/>
      <c r="AY26" s="43"/>
      <c r="AZ26" s="44"/>
      <c r="BA26" s="24" t="str">
        <f>[1]SUMMARY!$BI$3</f>
        <v>Jul</v>
      </c>
      <c r="BB26" s="24" t="str">
        <f>[1]SUMMARY!$BJ$3</f>
        <v>Aug</v>
      </c>
      <c r="BC26" s="24" t="str">
        <f>[1]SUMMARY!$BK$3</f>
        <v>Sep</v>
      </c>
      <c r="BD26" s="24" t="str">
        <f>[1]SUMMARY!$BL$3</f>
        <v>Oct</v>
      </c>
      <c r="BE26" s="24" t="str">
        <f>[1]SUMMARY!$BM$3</f>
        <v>Nov</v>
      </c>
      <c r="BF26" s="24" t="str">
        <f>[1]SUMMARY!$BN$3</f>
        <v>Dec</v>
      </c>
      <c r="BG26" s="24" t="str">
        <f>[1]SUMMARY!$BO$3</f>
        <v>Jan</v>
      </c>
      <c r="BH26" s="24" t="str">
        <f>[1]SUMMARY!$BP$3</f>
        <v>Feb</v>
      </c>
      <c r="BI26" s="24" t="str">
        <f>[1]SUMMARY!$BQ$3</f>
        <v>Mar</v>
      </c>
      <c r="BJ26" s="24" t="str">
        <f>[1]SUMMARY!$BR$3</f>
        <v>Apr</v>
      </c>
      <c r="BK26" s="24">
        <f>[1]SUMMARY!$BS$3</f>
        <v>0</v>
      </c>
      <c r="BL26" s="24">
        <f>[1]SUMMARY!$BT$3</f>
        <v>0</v>
      </c>
      <c r="BM26" s="45" t="s">
        <v>18</v>
      </c>
      <c r="BN26" s="45"/>
      <c r="BO26" s="43"/>
      <c r="BP26" s="44"/>
      <c r="BQ26" s="24" t="str">
        <f>[1]SUMMARY!$BI$3</f>
        <v>Jul</v>
      </c>
      <c r="BR26" s="24" t="str">
        <f>[1]SUMMARY!$BJ$3</f>
        <v>Aug</v>
      </c>
      <c r="BS26" s="24" t="str">
        <f>[1]SUMMARY!$BK$3</f>
        <v>Sep</v>
      </c>
      <c r="BT26" s="24" t="str">
        <f>[1]SUMMARY!$BL$3</f>
        <v>Oct</v>
      </c>
      <c r="BU26" s="24" t="str">
        <f>[1]SUMMARY!$BM$3</f>
        <v>Nov</v>
      </c>
      <c r="BV26" s="24" t="str">
        <f>[1]SUMMARY!$BN$3</f>
        <v>Dec</v>
      </c>
      <c r="BW26" s="24" t="str">
        <f>[1]SUMMARY!$BO$3</f>
        <v>Jan</v>
      </c>
      <c r="BX26" s="24" t="str">
        <f>[1]SUMMARY!$BP$3</f>
        <v>Feb</v>
      </c>
      <c r="BY26" s="24" t="str">
        <f>[1]SUMMARY!$BQ$3</f>
        <v>Mar</v>
      </c>
      <c r="BZ26" s="24" t="str">
        <f>[1]SUMMARY!$BR$3</f>
        <v>Apr</v>
      </c>
      <c r="CA26" s="24">
        <f>[1]SUMMARY!$BS$3</f>
        <v>0</v>
      </c>
      <c r="CB26" s="24">
        <f>[1]SUMMARY!$BT$3</f>
        <v>0</v>
      </c>
      <c r="CC26" s="45" t="s">
        <v>18</v>
      </c>
      <c r="CD26" s="45"/>
      <c r="CF26" s="43"/>
      <c r="CG26" s="44"/>
      <c r="CH26" s="24" t="str">
        <f>[1]SUMMARY!$BI$3</f>
        <v>Jul</v>
      </c>
      <c r="CI26" s="24" t="str">
        <f>[1]SUMMARY!$BJ$3</f>
        <v>Aug</v>
      </c>
      <c r="CJ26" s="24" t="str">
        <f>[1]SUMMARY!$BK$3</f>
        <v>Sep</v>
      </c>
      <c r="CK26" s="24" t="str">
        <f>[1]SUMMARY!$BL$3</f>
        <v>Oct</v>
      </c>
      <c r="CL26" s="24" t="str">
        <f>[1]SUMMARY!$BM$3</f>
        <v>Nov</v>
      </c>
      <c r="CM26" s="24" t="str">
        <f>[1]SUMMARY!$BN$3</f>
        <v>Dec</v>
      </c>
      <c r="CN26" s="24" t="str">
        <f>[1]SUMMARY!$BO$3</f>
        <v>Jan</v>
      </c>
      <c r="CO26" s="24" t="str">
        <f>[1]SUMMARY!$BP$3</f>
        <v>Feb</v>
      </c>
      <c r="CP26" s="24" t="str">
        <f>[1]SUMMARY!$BQ$3</f>
        <v>Mar</v>
      </c>
      <c r="CQ26" s="24" t="str">
        <f>[1]SUMMARY!$BR$3</f>
        <v>Apr</v>
      </c>
      <c r="CR26" s="24">
        <f>[1]SUMMARY!$BS$3</f>
        <v>0</v>
      </c>
      <c r="CS26" s="24">
        <f>[1]SUMMARY!$BT$3</f>
        <v>0</v>
      </c>
      <c r="CT26" s="45" t="s">
        <v>18</v>
      </c>
      <c r="CU26" s="45"/>
      <c r="CV26" s="43"/>
      <c r="CW26" s="44"/>
      <c r="CX26" s="24" t="str">
        <f>[1]SUMMARY!$BI$3</f>
        <v>Jul</v>
      </c>
      <c r="CY26" s="24" t="str">
        <f>[1]SUMMARY!$BJ$3</f>
        <v>Aug</v>
      </c>
      <c r="CZ26" s="24" t="str">
        <f>[1]SUMMARY!$BK$3</f>
        <v>Sep</v>
      </c>
      <c r="DA26" s="24" t="str">
        <f>[1]SUMMARY!$BL$3</f>
        <v>Oct</v>
      </c>
      <c r="DB26" s="24" t="str">
        <f>[1]SUMMARY!$BM$3</f>
        <v>Nov</v>
      </c>
      <c r="DC26" s="24" t="str">
        <f>[1]SUMMARY!$BN$3</f>
        <v>Dec</v>
      </c>
      <c r="DD26" s="24" t="str">
        <f>[1]SUMMARY!$BO$3</f>
        <v>Jan</v>
      </c>
      <c r="DE26" s="24" t="str">
        <f>[1]SUMMARY!$BP$3</f>
        <v>Feb</v>
      </c>
      <c r="DF26" s="24" t="str">
        <f>[1]SUMMARY!$BQ$3</f>
        <v>Mar</v>
      </c>
      <c r="DG26" s="24" t="str">
        <f>[1]SUMMARY!$BR$3</f>
        <v>Apr</v>
      </c>
      <c r="DH26" s="24">
        <f>[1]SUMMARY!$BS$3</f>
        <v>0</v>
      </c>
      <c r="DI26" s="24">
        <f>[1]SUMMARY!$BT$3</f>
        <v>0</v>
      </c>
      <c r="DJ26" s="45" t="s">
        <v>18</v>
      </c>
      <c r="DK26" s="45"/>
      <c r="DM26" s="43"/>
      <c r="DN26" s="44"/>
      <c r="DO26" s="24" t="str">
        <f>[1]SUMMARY!$BI$3</f>
        <v>Jul</v>
      </c>
      <c r="DP26" s="24" t="str">
        <f>[1]SUMMARY!$BJ$3</f>
        <v>Aug</v>
      </c>
      <c r="DQ26" s="24" t="str">
        <f>[1]SUMMARY!$BK$3</f>
        <v>Sep</v>
      </c>
      <c r="DR26" s="24" t="str">
        <f>[1]SUMMARY!$BL$3</f>
        <v>Oct</v>
      </c>
      <c r="DS26" s="24" t="str">
        <f>[1]SUMMARY!$BM$3</f>
        <v>Nov</v>
      </c>
      <c r="DT26" s="24" t="str">
        <f>[1]SUMMARY!$BN$3</f>
        <v>Dec</v>
      </c>
      <c r="DU26" s="24" t="str">
        <f>[1]SUMMARY!$BO$3</f>
        <v>Jan</v>
      </c>
      <c r="DV26" s="24" t="str">
        <f>[1]SUMMARY!$BP$3</f>
        <v>Feb</v>
      </c>
      <c r="DW26" s="24" t="str">
        <f>[1]SUMMARY!$BQ$3</f>
        <v>Mar</v>
      </c>
      <c r="DX26" s="24" t="str">
        <f>[1]SUMMARY!$BR$3</f>
        <v>Apr</v>
      </c>
      <c r="DY26" s="24">
        <f>[1]SUMMARY!$BS$3</f>
        <v>0</v>
      </c>
      <c r="DZ26" s="24">
        <f>[1]SUMMARY!$BT$3</f>
        <v>0</v>
      </c>
      <c r="EA26" s="45" t="s">
        <v>18</v>
      </c>
      <c r="EB26" s="45"/>
      <c r="EC26" s="43"/>
      <c r="ED26" s="44"/>
      <c r="EE26" s="24" t="str">
        <f>[1]SUMMARY!$BI$3</f>
        <v>Jul</v>
      </c>
      <c r="EF26" s="24" t="str">
        <f>[1]SUMMARY!$BJ$3</f>
        <v>Aug</v>
      </c>
      <c r="EG26" s="24" t="str">
        <f>[1]SUMMARY!$BK$3</f>
        <v>Sep</v>
      </c>
      <c r="EH26" s="24" t="str">
        <f>[1]SUMMARY!$BL$3</f>
        <v>Oct</v>
      </c>
      <c r="EI26" s="24" t="str">
        <f>[1]SUMMARY!$BM$3</f>
        <v>Nov</v>
      </c>
      <c r="EJ26" s="24" t="str">
        <f>[1]SUMMARY!$BN$3</f>
        <v>Dec</v>
      </c>
      <c r="EK26" s="24" t="str">
        <f>[1]SUMMARY!$BO$3</f>
        <v>Jan</v>
      </c>
      <c r="EL26" s="24" t="str">
        <f>[1]SUMMARY!$BP$3</f>
        <v>Feb</v>
      </c>
      <c r="EM26" s="24" t="str">
        <f>[1]SUMMARY!$BQ$3</f>
        <v>Mar</v>
      </c>
      <c r="EN26" s="24" t="str">
        <f>[1]SUMMARY!$BR$3</f>
        <v>Apr</v>
      </c>
      <c r="EO26" s="24">
        <f>[1]SUMMARY!$BS$3</f>
        <v>0</v>
      </c>
      <c r="EP26" s="24">
        <f>[1]SUMMARY!$BT$3</f>
        <v>0</v>
      </c>
      <c r="EQ26" s="45" t="s">
        <v>18</v>
      </c>
      <c r="ER26" s="45"/>
      <c r="ET26" s="43"/>
      <c r="EU26" s="44"/>
      <c r="EV26" s="24" t="str">
        <f>[1]SUMMARY!$BI$3</f>
        <v>Jul</v>
      </c>
      <c r="EW26" s="24" t="str">
        <f>[1]SUMMARY!$BJ$3</f>
        <v>Aug</v>
      </c>
      <c r="EX26" s="24" t="str">
        <f>[1]SUMMARY!$BK$3</f>
        <v>Sep</v>
      </c>
      <c r="EY26" s="24" t="str">
        <f>[1]SUMMARY!$BL$3</f>
        <v>Oct</v>
      </c>
      <c r="EZ26" s="24" t="str">
        <f>[1]SUMMARY!$BM$3</f>
        <v>Nov</v>
      </c>
      <c r="FA26" s="24" t="str">
        <f>[1]SUMMARY!$BN$3</f>
        <v>Dec</v>
      </c>
      <c r="FB26" s="24" t="str">
        <f>[1]SUMMARY!$BO$3</f>
        <v>Jan</v>
      </c>
      <c r="FC26" s="24" t="str">
        <f>[1]SUMMARY!$BP$3</f>
        <v>Feb</v>
      </c>
      <c r="FD26" s="24" t="str">
        <f>[1]SUMMARY!$BQ$3</f>
        <v>Mar</v>
      </c>
      <c r="FE26" s="24" t="str">
        <f>[1]SUMMARY!$BR$3</f>
        <v>Apr</v>
      </c>
      <c r="FF26" s="24">
        <f>[1]SUMMARY!$BS$3</f>
        <v>0</v>
      </c>
      <c r="FG26" s="24">
        <f>[1]SUMMARY!$BT$3</f>
        <v>0</v>
      </c>
      <c r="FH26" s="45" t="s">
        <v>18</v>
      </c>
      <c r="FI26" s="45"/>
      <c r="FJ26" s="43"/>
      <c r="FK26" s="44"/>
      <c r="FL26" s="24" t="str">
        <f>[1]SUMMARY!$BI$3</f>
        <v>Jul</v>
      </c>
      <c r="FM26" s="24" t="str">
        <f>[1]SUMMARY!$BJ$3</f>
        <v>Aug</v>
      </c>
      <c r="FN26" s="24" t="str">
        <f>[1]SUMMARY!$BK$3</f>
        <v>Sep</v>
      </c>
      <c r="FO26" s="24" t="str">
        <f>[1]SUMMARY!$BL$3</f>
        <v>Oct</v>
      </c>
      <c r="FP26" s="24" t="str">
        <f>[1]SUMMARY!$BM$3</f>
        <v>Nov</v>
      </c>
      <c r="FQ26" s="24" t="str">
        <f>[1]SUMMARY!$BN$3</f>
        <v>Dec</v>
      </c>
      <c r="FR26" s="24" t="str">
        <f>[1]SUMMARY!$BO$3</f>
        <v>Jan</v>
      </c>
      <c r="FS26" s="24" t="str">
        <f>[1]SUMMARY!$BP$3</f>
        <v>Feb</v>
      </c>
      <c r="FT26" s="24" t="str">
        <f>[1]SUMMARY!$BQ$3</f>
        <v>Mar</v>
      </c>
      <c r="FU26" s="24" t="str">
        <f>[1]SUMMARY!$BR$3</f>
        <v>Apr</v>
      </c>
      <c r="FV26" s="24">
        <f>[1]SUMMARY!$BS$3</f>
        <v>0</v>
      </c>
      <c r="FW26" s="24">
        <f>[1]SUMMARY!$BT$3</f>
        <v>0</v>
      </c>
      <c r="FX26" s="45" t="s">
        <v>18</v>
      </c>
      <c r="FY26" s="45"/>
      <c r="GA26" s="43"/>
      <c r="GB26" s="44"/>
      <c r="GC26" s="24" t="str">
        <f>[1]SUMMARY!$BI$3</f>
        <v>Jul</v>
      </c>
      <c r="GD26" s="24" t="str">
        <f>[1]SUMMARY!$BJ$3</f>
        <v>Aug</v>
      </c>
      <c r="GE26" s="24" t="str">
        <f>[1]SUMMARY!$BK$3</f>
        <v>Sep</v>
      </c>
      <c r="GF26" s="24" t="str">
        <f>[1]SUMMARY!$BL$3</f>
        <v>Oct</v>
      </c>
      <c r="GG26" s="24" t="str">
        <f>[1]SUMMARY!$BM$3</f>
        <v>Nov</v>
      </c>
      <c r="GH26" s="24" t="str">
        <f>[1]SUMMARY!$BN$3</f>
        <v>Dec</v>
      </c>
      <c r="GI26" s="24" t="str">
        <f>[1]SUMMARY!$BO$3</f>
        <v>Jan</v>
      </c>
      <c r="GJ26" s="24" t="str">
        <f>[1]SUMMARY!$BP$3</f>
        <v>Feb</v>
      </c>
      <c r="GK26" s="24" t="str">
        <f>[1]SUMMARY!$BQ$3</f>
        <v>Mar</v>
      </c>
      <c r="GL26" s="24" t="str">
        <f>[1]SUMMARY!$BR$3</f>
        <v>Apr</v>
      </c>
      <c r="GM26" s="24">
        <f>[1]SUMMARY!$BS$3</f>
        <v>0</v>
      </c>
      <c r="GN26" s="24">
        <f>[1]SUMMARY!$BT$3</f>
        <v>0</v>
      </c>
      <c r="GO26" s="45" t="s">
        <v>18</v>
      </c>
      <c r="GP26" s="45"/>
      <c r="GQ26" s="43"/>
      <c r="GR26" s="44"/>
      <c r="GS26" s="24" t="str">
        <f>[1]SUMMARY!$BI$3</f>
        <v>Jul</v>
      </c>
      <c r="GT26" s="24" t="str">
        <f>[1]SUMMARY!$BJ$3</f>
        <v>Aug</v>
      </c>
      <c r="GU26" s="24" t="str">
        <f>[1]SUMMARY!$BK$3</f>
        <v>Sep</v>
      </c>
      <c r="GV26" s="24" t="str">
        <f>[1]SUMMARY!$BL$3</f>
        <v>Oct</v>
      </c>
      <c r="GW26" s="24" t="str">
        <f>[1]SUMMARY!$BM$3</f>
        <v>Nov</v>
      </c>
      <c r="GX26" s="24" t="str">
        <f>[1]SUMMARY!$BN$3</f>
        <v>Dec</v>
      </c>
      <c r="GY26" s="24" t="str">
        <f>[1]SUMMARY!$BO$3</f>
        <v>Jan</v>
      </c>
      <c r="GZ26" s="24" t="str">
        <f>[1]SUMMARY!$BP$3</f>
        <v>Feb</v>
      </c>
      <c r="HA26" s="24" t="str">
        <f>[1]SUMMARY!$BQ$3</f>
        <v>Mar</v>
      </c>
      <c r="HB26" s="24" t="str">
        <f>[1]SUMMARY!$BR$3</f>
        <v>Apr</v>
      </c>
      <c r="HC26" s="24">
        <f>[1]SUMMARY!$BS$3</f>
        <v>0</v>
      </c>
      <c r="HD26" s="24">
        <f>[1]SUMMARY!$BT$3</f>
        <v>0</v>
      </c>
      <c r="HE26" s="45" t="s">
        <v>18</v>
      </c>
      <c r="HF26" s="45"/>
      <c r="HH26" s="43"/>
      <c r="HI26" s="44"/>
      <c r="HJ26" s="24" t="str">
        <f>[1]SUMMARY!$BI$3</f>
        <v>Jul</v>
      </c>
      <c r="HK26" s="24" t="str">
        <f>[1]SUMMARY!$BJ$3</f>
        <v>Aug</v>
      </c>
      <c r="HL26" s="24" t="str">
        <f>[1]SUMMARY!$BK$3</f>
        <v>Sep</v>
      </c>
      <c r="HM26" s="24" t="str">
        <f>[1]SUMMARY!$BL$3</f>
        <v>Oct</v>
      </c>
      <c r="HN26" s="24" t="str">
        <f>[1]SUMMARY!$BM$3</f>
        <v>Nov</v>
      </c>
      <c r="HO26" s="24" t="str">
        <f>[1]SUMMARY!$BN$3</f>
        <v>Dec</v>
      </c>
      <c r="HP26" s="24" t="str">
        <f>[1]SUMMARY!$BO$3</f>
        <v>Jan</v>
      </c>
      <c r="HQ26" s="24" t="str">
        <f>[1]SUMMARY!$BP$3</f>
        <v>Feb</v>
      </c>
      <c r="HR26" s="24" t="str">
        <f>[1]SUMMARY!$BQ$3</f>
        <v>Mar</v>
      </c>
      <c r="HS26" s="24" t="str">
        <f>[1]SUMMARY!$BR$3</f>
        <v>Apr</v>
      </c>
      <c r="HT26" s="24">
        <f>[1]SUMMARY!$BS$3</f>
        <v>0</v>
      </c>
      <c r="HU26" s="24">
        <f>[1]SUMMARY!$BT$3</f>
        <v>0</v>
      </c>
      <c r="HV26" s="45" t="s">
        <v>18</v>
      </c>
      <c r="HW26" s="45"/>
      <c r="HX26" s="43"/>
      <c r="HY26" s="44"/>
      <c r="HZ26" s="24" t="str">
        <f>[1]SUMMARY!$BI$3</f>
        <v>Jul</v>
      </c>
      <c r="IA26" s="24" t="str">
        <f>[1]SUMMARY!$BJ$3</f>
        <v>Aug</v>
      </c>
      <c r="IB26" s="24" t="str">
        <f>[1]SUMMARY!$BK$3</f>
        <v>Sep</v>
      </c>
      <c r="IC26" s="24" t="str">
        <f>[1]SUMMARY!$BL$3</f>
        <v>Oct</v>
      </c>
      <c r="ID26" s="24" t="str">
        <f>[1]SUMMARY!$BM$3</f>
        <v>Nov</v>
      </c>
      <c r="IE26" s="24" t="str">
        <f>[1]SUMMARY!$BN$3</f>
        <v>Dec</v>
      </c>
      <c r="IF26" s="24" t="str">
        <f>[1]SUMMARY!$BO$3</f>
        <v>Jan</v>
      </c>
      <c r="IG26" s="24" t="str">
        <f>[1]SUMMARY!$BP$3</f>
        <v>Feb</v>
      </c>
      <c r="IH26" s="24" t="str">
        <f>[1]SUMMARY!$BQ$3</f>
        <v>Mar</v>
      </c>
      <c r="II26" s="24" t="str">
        <f>[1]SUMMARY!$BR$3</f>
        <v>Apr</v>
      </c>
      <c r="IJ26" s="24">
        <f>[1]SUMMARY!$BS$3</f>
        <v>0</v>
      </c>
      <c r="IK26" s="24">
        <f>[1]SUMMARY!$BT$3</f>
        <v>0</v>
      </c>
      <c r="IL26" s="45" t="s">
        <v>18</v>
      </c>
      <c r="IM26" s="45"/>
      <c r="IO26" s="43"/>
      <c r="IP26" s="44"/>
      <c r="IQ26" s="24" t="str">
        <f>[1]SUMMARY!$BI$3</f>
        <v>Jul</v>
      </c>
      <c r="IR26" s="24" t="str">
        <f>[1]SUMMARY!$BJ$3</f>
        <v>Aug</v>
      </c>
      <c r="IS26" s="24" t="str">
        <f>[1]SUMMARY!$BK$3</f>
        <v>Sep</v>
      </c>
      <c r="IT26" s="24" t="str">
        <f>[1]SUMMARY!$BL$3</f>
        <v>Oct</v>
      </c>
      <c r="IU26" s="24" t="str">
        <f>[1]SUMMARY!$BM$3</f>
        <v>Nov</v>
      </c>
      <c r="IV26" s="24" t="str">
        <f>[1]SUMMARY!$BN$3</f>
        <v>Dec</v>
      </c>
      <c r="IW26" s="24" t="str">
        <f>[1]SUMMARY!$BO$3</f>
        <v>Jan</v>
      </c>
      <c r="IX26" s="24" t="str">
        <f>[1]SUMMARY!$BP$3</f>
        <v>Feb</v>
      </c>
      <c r="IY26" s="24" t="str">
        <f>[1]SUMMARY!$BQ$3</f>
        <v>Mar</v>
      </c>
      <c r="IZ26" s="24" t="str">
        <f>[1]SUMMARY!$BR$3</f>
        <v>Apr</v>
      </c>
      <c r="JA26" s="24">
        <f>[1]SUMMARY!$BS$3</f>
        <v>0</v>
      </c>
      <c r="JB26" s="24">
        <f>[1]SUMMARY!$BT$3</f>
        <v>0</v>
      </c>
      <c r="JC26" s="45" t="s">
        <v>18</v>
      </c>
      <c r="JD26" s="45"/>
      <c r="JE26" s="43"/>
      <c r="JF26" s="44"/>
      <c r="JG26" s="24" t="str">
        <f>[1]SUMMARY!$BI$3</f>
        <v>Jul</v>
      </c>
      <c r="JH26" s="25" t="str">
        <f>[1]SUMMARY!$BJ$3</f>
        <v>Aug</v>
      </c>
      <c r="JI26" s="25" t="str">
        <f>[1]SUMMARY!$BK$3</f>
        <v>Sep</v>
      </c>
      <c r="JJ26" s="25" t="str">
        <f>[1]SUMMARY!$BL$3</f>
        <v>Oct</v>
      </c>
      <c r="JK26" s="25" t="str">
        <f>[1]SUMMARY!$BM$3</f>
        <v>Nov</v>
      </c>
      <c r="JL26" s="25" t="str">
        <f>[1]SUMMARY!$BN$3</f>
        <v>Dec</v>
      </c>
      <c r="JM26" s="25" t="str">
        <f>[1]SUMMARY!$BO$3</f>
        <v>Jan</v>
      </c>
      <c r="JN26" s="25" t="str">
        <f>[1]SUMMARY!$BP$3</f>
        <v>Feb</v>
      </c>
      <c r="JO26" s="25" t="str">
        <f>[1]SUMMARY!$BQ$3</f>
        <v>Mar</v>
      </c>
      <c r="JP26" s="25" t="str">
        <f>[1]SUMMARY!$BR$3</f>
        <v>Apr</v>
      </c>
      <c r="JQ26" s="25">
        <f>[1]SUMMARY!$BS$3</f>
        <v>0</v>
      </c>
      <c r="JR26" s="25">
        <f>[1]SUMMARY!$BT$3</f>
        <v>0</v>
      </c>
      <c r="JS26" s="45" t="s">
        <v>18</v>
      </c>
      <c r="JT26" s="45"/>
      <c r="JV26" s="43"/>
      <c r="JW26" s="44"/>
      <c r="JX26" s="24" t="str">
        <f>[1]SUMMARY!$BI$3</f>
        <v>Jul</v>
      </c>
      <c r="JY26" s="25" t="str">
        <f>[1]SUMMARY!$BJ$3</f>
        <v>Aug</v>
      </c>
      <c r="JZ26" s="25" t="str">
        <f>[1]SUMMARY!$BK$3</f>
        <v>Sep</v>
      </c>
      <c r="KA26" s="25" t="str">
        <f>[1]SUMMARY!$BL$3</f>
        <v>Oct</v>
      </c>
      <c r="KB26" s="25" t="str">
        <f>[1]SUMMARY!$BM$3</f>
        <v>Nov</v>
      </c>
      <c r="KC26" s="25" t="str">
        <f>[1]SUMMARY!$BN$3</f>
        <v>Dec</v>
      </c>
      <c r="KD26" s="25" t="str">
        <f>[1]SUMMARY!$BO$3</f>
        <v>Jan</v>
      </c>
      <c r="KE26" s="25" t="str">
        <f>[1]SUMMARY!$BP$3</f>
        <v>Feb</v>
      </c>
      <c r="KF26" s="25" t="str">
        <f>[1]SUMMARY!$BQ$3</f>
        <v>Mar</v>
      </c>
      <c r="KG26" s="25" t="str">
        <f>[1]SUMMARY!$BR$3</f>
        <v>Apr</v>
      </c>
      <c r="KH26" s="25">
        <f>[1]SUMMARY!$BS$3</f>
        <v>0</v>
      </c>
      <c r="KI26" s="25">
        <f>[1]SUMMARY!$BT$3</f>
        <v>0</v>
      </c>
      <c r="KJ26" s="45" t="s">
        <v>18</v>
      </c>
      <c r="KK26" s="45"/>
      <c r="KL26" s="43"/>
      <c r="KM26" s="44"/>
      <c r="KN26" s="24" t="str">
        <f>[1]SUMMARY!$BI$3</f>
        <v>Jul</v>
      </c>
      <c r="KO26" s="25" t="str">
        <f>[1]SUMMARY!$BJ$3</f>
        <v>Aug</v>
      </c>
      <c r="KP26" s="25" t="str">
        <f>[1]SUMMARY!$BK$3</f>
        <v>Sep</v>
      </c>
      <c r="KQ26" s="25" t="str">
        <f>[1]SUMMARY!$BL$3</f>
        <v>Oct</v>
      </c>
      <c r="KR26" s="25" t="str">
        <f>[1]SUMMARY!$BM$3</f>
        <v>Nov</v>
      </c>
      <c r="KS26" s="25" t="str">
        <f>[1]SUMMARY!$BN$3</f>
        <v>Dec</v>
      </c>
      <c r="KT26" s="25" t="str">
        <f>[1]SUMMARY!$BO$3</f>
        <v>Jan</v>
      </c>
      <c r="KU26" s="25" t="str">
        <f>[1]SUMMARY!$BP$3</f>
        <v>Feb</v>
      </c>
      <c r="KV26" s="25" t="str">
        <f>[1]SUMMARY!$BQ$3</f>
        <v>Mar</v>
      </c>
      <c r="KW26" s="25" t="str">
        <f>[1]SUMMARY!$BR$3</f>
        <v>Apr</v>
      </c>
      <c r="KX26" s="25">
        <f>[1]SUMMARY!$BS$3</f>
        <v>0</v>
      </c>
      <c r="KY26" s="25">
        <f>[1]SUMMARY!$BT$3</f>
        <v>0</v>
      </c>
      <c r="KZ26" s="89" t="s">
        <v>18</v>
      </c>
      <c r="LA26" s="90"/>
      <c r="LC26" s="43"/>
      <c r="LD26" s="44"/>
      <c r="LE26" s="24" t="str">
        <f>[1]SUMMARY!$BI$3</f>
        <v>Jul</v>
      </c>
      <c r="LF26" s="24" t="str">
        <f>[1]SUMMARY!$BJ$3</f>
        <v>Aug</v>
      </c>
      <c r="LG26" s="24" t="str">
        <f>[1]SUMMARY!$BK$3</f>
        <v>Sep</v>
      </c>
      <c r="LH26" s="24" t="str">
        <f>[1]SUMMARY!$BL$3</f>
        <v>Oct</v>
      </c>
      <c r="LI26" s="24" t="str">
        <f>[1]SUMMARY!$BM$3</f>
        <v>Nov</v>
      </c>
      <c r="LJ26" s="24" t="str">
        <f>[1]SUMMARY!$BN$3</f>
        <v>Dec</v>
      </c>
      <c r="LK26" s="24" t="str">
        <f>[1]SUMMARY!$BO$3</f>
        <v>Jan</v>
      </c>
      <c r="LL26" s="24" t="str">
        <f>[1]SUMMARY!$BP$3</f>
        <v>Feb</v>
      </c>
      <c r="LM26" s="24" t="str">
        <f>[1]SUMMARY!$BQ$3</f>
        <v>Mar</v>
      </c>
      <c r="LN26" s="24" t="str">
        <f>[1]SUMMARY!$BR$3</f>
        <v>Apr</v>
      </c>
      <c r="LO26" s="24">
        <f>[1]SUMMARY!$BS$3</f>
        <v>0</v>
      </c>
      <c r="LP26" s="24">
        <f>[1]SUMMARY!$BT$3</f>
        <v>0</v>
      </c>
      <c r="LQ26" s="45" t="s">
        <v>18</v>
      </c>
      <c r="LR26" s="45"/>
    </row>
    <row r="27" spans="1:330" s="28" customFormat="1" x14ac:dyDescent="0.3">
      <c r="A27" s="36" t="s">
        <v>19</v>
      </c>
      <c r="B27" s="37"/>
      <c r="C27" s="26">
        <f>[1]SUMMARY!$BI$49</f>
        <v>4</v>
      </c>
      <c r="D27" s="26">
        <f>[1]SUMMARY!$BJ$49</f>
        <v>19</v>
      </c>
      <c r="E27" s="26">
        <f>[1]SUMMARY!$BK$49</f>
        <v>21</v>
      </c>
      <c r="F27" s="26"/>
      <c r="G27" s="26">
        <f>[1]SUMMARY!$BM$49</f>
        <v>0</v>
      </c>
      <c r="H27" s="26">
        <f>[1]SUMMARY!$BN$49</f>
        <v>0</v>
      </c>
      <c r="I27" s="26">
        <f>[1]SUMMARY!$BO$49</f>
        <v>0</v>
      </c>
      <c r="J27" s="26">
        <f>[1]SUMMARY!$BP$49</f>
        <v>0</v>
      </c>
      <c r="K27" s="26">
        <f>[1]SUMMARY!$BQ$49</f>
        <v>0</v>
      </c>
      <c r="L27" s="26">
        <f>[1]SUMMARY!$BR$49</f>
        <v>0</v>
      </c>
      <c r="M27" s="27">
        <f>[1]SUMMARY!$BS$49</f>
        <v>0</v>
      </c>
      <c r="N27" s="27">
        <f>[1]SUMMARY!$BT$49</f>
        <v>0</v>
      </c>
      <c r="O27" s="46">
        <f>[1]SUMMARY!$BU$49</f>
        <v>44</v>
      </c>
      <c r="P27" s="39"/>
      <c r="R27" s="36" t="s">
        <v>19</v>
      </c>
      <c r="S27" s="37"/>
      <c r="T27" s="26">
        <f>[1]SUMMARY!$BI$49</f>
        <v>4</v>
      </c>
      <c r="U27" s="26">
        <f>[1]SUMMARY!$BJ$49</f>
        <v>19</v>
      </c>
      <c r="V27" s="26">
        <f>[1]SUMMARY!$BK$49</f>
        <v>21</v>
      </c>
      <c r="W27" s="26">
        <f>[1]SUMMARY!$BL$49</f>
        <v>0</v>
      </c>
      <c r="X27" s="26">
        <f>[1]SUMMARY!$BM$49</f>
        <v>0</v>
      </c>
      <c r="Y27" s="26">
        <f>[1]SUMMARY!$BN$49</f>
        <v>0</v>
      </c>
      <c r="Z27" s="26">
        <f>[1]SUMMARY!$BO$49</f>
        <v>0</v>
      </c>
      <c r="AA27" s="26">
        <f>[1]SUMMARY!$BP$49</f>
        <v>0</v>
      </c>
      <c r="AB27" s="26">
        <f>[1]SUMMARY!$BQ$49</f>
        <v>0</v>
      </c>
      <c r="AC27" s="26">
        <f>[1]SUMMARY!$BR$49</f>
        <v>0</v>
      </c>
      <c r="AD27" s="27">
        <f>[1]SUMMARY!$BS$49</f>
        <v>0</v>
      </c>
      <c r="AE27" s="27">
        <f>[1]SUMMARY!$BT$49</f>
        <v>0</v>
      </c>
      <c r="AF27" s="46">
        <f>[1]SUMMARY!$BU$49</f>
        <v>44</v>
      </c>
      <c r="AG27" s="39"/>
      <c r="AH27" s="36" t="s">
        <v>19</v>
      </c>
      <c r="AI27" s="37"/>
      <c r="AJ27" s="26">
        <f>[1]SUMMARY!$BI$49</f>
        <v>4</v>
      </c>
      <c r="AK27" s="26">
        <f>[1]SUMMARY!$BJ$49</f>
        <v>19</v>
      </c>
      <c r="AL27" s="26">
        <f>[1]SUMMARY!$BK$49</f>
        <v>21</v>
      </c>
      <c r="AM27" s="26">
        <f>[1]SUMMARY!$BL$49</f>
        <v>0</v>
      </c>
      <c r="AN27" s="26">
        <f>[1]SUMMARY!$BM$49</f>
        <v>0</v>
      </c>
      <c r="AO27" s="26">
        <f>[1]SUMMARY!$BN$49</f>
        <v>0</v>
      </c>
      <c r="AP27" s="26">
        <f>[1]SUMMARY!$BO$49</f>
        <v>0</v>
      </c>
      <c r="AQ27" s="26">
        <f>[1]SUMMARY!$BP$49</f>
        <v>0</v>
      </c>
      <c r="AR27" s="26">
        <f>[1]SUMMARY!$BQ$49</f>
        <v>0</v>
      </c>
      <c r="AS27" s="26">
        <f>[1]SUMMARY!$BR$49</f>
        <v>0</v>
      </c>
      <c r="AT27" s="27">
        <f>[1]SUMMARY!$BS$49</f>
        <v>0</v>
      </c>
      <c r="AU27" s="27">
        <f>[1]SUMMARY!$BT$49</f>
        <v>0</v>
      </c>
      <c r="AV27" s="46">
        <f>[1]SUMMARY!$BU$49</f>
        <v>44</v>
      </c>
      <c r="AW27" s="39"/>
      <c r="AY27" s="36" t="s">
        <v>19</v>
      </c>
      <c r="AZ27" s="37"/>
      <c r="BA27" s="26">
        <f>[1]SUMMARY!$BI$49</f>
        <v>4</v>
      </c>
      <c r="BB27" s="26">
        <f>[1]SUMMARY!$BJ$49</f>
        <v>19</v>
      </c>
      <c r="BC27" s="26">
        <f>[1]SUMMARY!$BK$49</f>
        <v>21</v>
      </c>
      <c r="BD27" s="26">
        <f>[1]SUMMARY!$BL$49</f>
        <v>0</v>
      </c>
      <c r="BE27" s="26">
        <f>[1]SUMMARY!$BM$49</f>
        <v>0</v>
      </c>
      <c r="BF27" s="26">
        <f>[1]SUMMARY!$BN$49</f>
        <v>0</v>
      </c>
      <c r="BG27" s="26">
        <f>[1]SUMMARY!$BO$49</f>
        <v>0</v>
      </c>
      <c r="BH27" s="26">
        <f>[1]SUMMARY!$BP$49</f>
        <v>0</v>
      </c>
      <c r="BI27" s="26">
        <f>[1]SUMMARY!$BQ$49</f>
        <v>0</v>
      </c>
      <c r="BJ27" s="26">
        <f>[1]SUMMARY!$BR$49</f>
        <v>0</v>
      </c>
      <c r="BK27" s="27">
        <f>[1]SUMMARY!$BS$49</f>
        <v>0</v>
      </c>
      <c r="BL27" s="27">
        <f>[1]SUMMARY!$BT$49</f>
        <v>0</v>
      </c>
      <c r="BM27" s="46">
        <f>[1]SUMMARY!$BU$49</f>
        <v>44</v>
      </c>
      <c r="BN27" s="39"/>
      <c r="BO27" s="36" t="s">
        <v>19</v>
      </c>
      <c r="BP27" s="37"/>
      <c r="BQ27" s="26">
        <f>[1]SUMMARY!$BI$49</f>
        <v>4</v>
      </c>
      <c r="BR27" s="26">
        <f>[1]SUMMARY!$BJ$49</f>
        <v>19</v>
      </c>
      <c r="BS27" s="26">
        <f>[1]SUMMARY!$BK$49</f>
        <v>21</v>
      </c>
      <c r="BT27" s="26">
        <f>[1]SUMMARY!$BL$49</f>
        <v>0</v>
      </c>
      <c r="BU27" s="26">
        <f>[1]SUMMARY!$BM$49</f>
        <v>0</v>
      </c>
      <c r="BV27" s="26">
        <f>[1]SUMMARY!$BN$49</f>
        <v>0</v>
      </c>
      <c r="BW27" s="26">
        <f>[1]SUMMARY!$BO$49</f>
        <v>0</v>
      </c>
      <c r="BX27" s="26">
        <f>[1]SUMMARY!$BP$49</f>
        <v>0</v>
      </c>
      <c r="BY27" s="26">
        <f>[1]SUMMARY!$BQ$49</f>
        <v>0</v>
      </c>
      <c r="BZ27" s="26">
        <f>[1]SUMMARY!$BR$49</f>
        <v>0</v>
      </c>
      <c r="CA27" s="27">
        <f>[1]SUMMARY!$BS$49</f>
        <v>0</v>
      </c>
      <c r="CB27" s="27">
        <f>[1]SUMMARY!$BT$49</f>
        <v>0</v>
      </c>
      <c r="CC27" s="46">
        <f>[1]SUMMARY!$BU$49</f>
        <v>44</v>
      </c>
      <c r="CD27" s="39"/>
      <c r="CF27" s="36" t="s">
        <v>19</v>
      </c>
      <c r="CG27" s="37"/>
      <c r="CH27" s="26">
        <f>[1]SUMMARY!$BI$49</f>
        <v>4</v>
      </c>
      <c r="CI27" s="26">
        <f>[1]SUMMARY!$BJ$49</f>
        <v>19</v>
      </c>
      <c r="CJ27" s="26">
        <f>[1]SUMMARY!$BK$49</f>
        <v>21</v>
      </c>
      <c r="CK27" s="26">
        <f>[1]SUMMARY!$BL$49</f>
        <v>0</v>
      </c>
      <c r="CL27" s="26">
        <f>[1]SUMMARY!$BM$49</f>
        <v>0</v>
      </c>
      <c r="CM27" s="26">
        <f>[1]SUMMARY!$BN$49</f>
        <v>0</v>
      </c>
      <c r="CN27" s="26">
        <f>[1]SUMMARY!$BO$49</f>
        <v>0</v>
      </c>
      <c r="CO27" s="26">
        <f>[1]SUMMARY!$BP$49</f>
        <v>0</v>
      </c>
      <c r="CP27" s="26">
        <f>[1]SUMMARY!$BQ$49</f>
        <v>0</v>
      </c>
      <c r="CQ27" s="26">
        <f>[1]SUMMARY!$BR$49</f>
        <v>0</v>
      </c>
      <c r="CR27" s="27">
        <f>[1]SUMMARY!$BS$49</f>
        <v>0</v>
      </c>
      <c r="CS27" s="27">
        <f>[1]SUMMARY!$BT$49</f>
        <v>0</v>
      </c>
      <c r="CT27" s="46">
        <f>[1]SUMMARY!$BU$49</f>
        <v>44</v>
      </c>
      <c r="CU27" s="39"/>
      <c r="CV27" s="36" t="s">
        <v>19</v>
      </c>
      <c r="CW27" s="37"/>
      <c r="CX27" s="26">
        <f>[1]SUMMARY!$BI$49</f>
        <v>4</v>
      </c>
      <c r="CY27" s="26">
        <f>[1]SUMMARY!$BJ$49</f>
        <v>19</v>
      </c>
      <c r="CZ27" s="26">
        <f>[1]SUMMARY!$BK$49</f>
        <v>21</v>
      </c>
      <c r="DA27" s="26">
        <f>[1]SUMMARY!$BL$49</f>
        <v>0</v>
      </c>
      <c r="DB27" s="26">
        <f>[1]SUMMARY!$BM$49</f>
        <v>0</v>
      </c>
      <c r="DC27" s="26">
        <f>[1]SUMMARY!$BN$49</f>
        <v>0</v>
      </c>
      <c r="DD27" s="26">
        <f>[1]SUMMARY!$BO$49</f>
        <v>0</v>
      </c>
      <c r="DE27" s="26">
        <f>[1]SUMMARY!$BP$49</f>
        <v>0</v>
      </c>
      <c r="DF27" s="26">
        <f>[1]SUMMARY!$BQ$49</f>
        <v>0</v>
      </c>
      <c r="DG27" s="26">
        <f>[1]SUMMARY!$BR$49</f>
        <v>0</v>
      </c>
      <c r="DH27" s="27">
        <f>[1]SUMMARY!$BS$49</f>
        <v>0</v>
      </c>
      <c r="DI27" s="27">
        <f>[1]SUMMARY!$BT$49</f>
        <v>0</v>
      </c>
      <c r="DJ27" s="46">
        <f>[1]SUMMARY!$BU$49</f>
        <v>44</v>
      </c>
      <c r="DK27" s="39"/>
      <c r="DM27" s="36" t="s">
        <v>19</v>
      </c>
      <c r="DN27" s="37"/>
      <c r="DO27" s="26">
        <f>[1]SUMMARY!$BI$49</f>
        <v>4</v>
      </c>
      <c r="DP27" s="26">
        <f>[1]SUMMARY!$BJ$49</f>
        <v>19</v>
      </c>
      <c r="DQ27" s="26">
        <f>[1]SUMMARY!$BK$49</f>
        <v>21</v>
      </c>
      <c r="DR27" s="26">
        <f>[1]SUMMARY!$BL$49</f>
        <v>0</v>
      </c>
      <c r="DS27" s="26">
        <f>[1]SUMMARY!$BM$49</f>
        <v>0</v>
      </c>
      <c r="DT27" s="26">
        <f>[1]SUMMARY!$BN$49</f>
        <v>0</v>
      </c>
      <c r="DU27" s="26">
        <f>[1]SUMMARY!$BO$49</f>
        <v>0</v>
      </c>
      <c r="DV27" s="26">
        <f>[1]SUMMARY!$BP$49</f>
        <v>0</v>
      </c>
      <c r="DW27" s="26">
        <f>[1]SUMMARY!$BQ$49</f>
        <v>0</v>
      </c>
      <c r="DX27" s="26">
        <f>[1]SUMMARY!$BR$49</f>
        <v>0</v>
      </c>
      <c r="DY27" s="27">
        <f>[1]SUMMARY!$BS$49</f>
        <v>0</v>
      </c>
      <c r="DZ27" s="27">
        <f>[1]SUMMARY!$BT$49</f>
        <v>0</v>
      </c>
      <c r="EA27" s="46">
        <f>[1]SUMMARY!$BU$49</f>
        <v>44</v>
      </c>
      <c r="EB27" s="39"/>
      <c r="EC27" s="36" t="s">
        <v>19</v>
      </c>
      <c r="ED27" s="37"/>
      <c r="EE27" s="26">
        <f>[1]SUMMARY!$BI$49</f>
        <v>4</v>
      </c>
      <c r="EF27" s="26">
        <f>[1]SUMMARY!$BJ$49</f>
        <v>19</v>
      </c>
      <c r="EG27" s="26">
        <f>[1]SUMMARY!$BK$49</f>
        <v>21</v>
      </c>
      <c r="EH27" s="26">
        <f>[1]SUMMARY!$BL$49</f>
        <v>0</v>
      </c>
      <c r="EI27" s="26">
        <f>[1]SUMMARY!$BM$49</f>
        <v>0</v>
      </c>
      <c r="EJ27" s="26">
        <f>[1]SUMMARY!$BN$49</f>
        <v>0</v>
      </c>
      <c r="EK27" s="26">
        <f>[1]SUMMARY!$BO$49</f>
        <v>0</v>
      </c>
      <c r="EL27" s="26">
        <f>[1]SUMMARY!$BP$49</f>
        <v>0</v>
      </c>
      <c r="EM27" s="26">
        <f>[1]SUMMARY!$BQ$49</f>
        <v>0</v>
      </c>
      <c r="EN27" s="26">
        <f>[1]SUMMARY!$BR$49</f>
        <v>0</v>
      </c>
      <c r="EO27" s="27">
        <f>[1]SUMMARY!$BS$49</f>
        <v>0</v>
      </c>
      <c r="EP27" s="27">
        <f>[1]SUMMARY!$BT$49</f>
        <v>0</v>
      </c>
      <c r="EQ27" s="46">
        <f>[1]SUMMARY!$BU$49</f>
        <v>44</v>
      </c>
      <c r="ER27" s="39"/>
      <c r="ET27" s="36" t="s">
        <v>19</v>
      </c>
      <c r="EU27" s="37"/>
      <c r="EV27" s="26">
        <f>[1]SUMMARY!$BI$49</f>
        <v>4</v>
      </c>
      <c r="EW27" s="26">
        <f>[1]SUMMARY!$BJ$49</f>
        <v>19</v>
      </c>
      <c r="EX27" s="26">
        <f>[1]SUMMARY!$BK$49</f>
        <v>21</v>
      </c>
      <c r="EY27" s="26">
        <f>[1]SUMMARY!$BL$49</f>
        <v>0</v>
      </c>
      <c r="EZ27" s="26">
        <f>[1]SUMMARY!$BM$49</f>
        <v>0</v>
      </c>
      <c r="FA27" s="26">
        <f>[1]SUMMARY!$BN$49</f>
        <v>0</v>
      </c>
      <c r="FB27" s="26">
        <f>[1]SUMMARY!$BO$49</f>
        <v>0</v>
      </c>
      <c r="FC27" s="26">
        <f>[1]SUMMARY!$BP$49</f>
        <v>0</v>
      </c>
      <c r="FD27" s="26">
        <f>[1]SUMMARY!$BQ$49</f>
        <v>0</v>
      </c>
      <c r="FE27" s="26">
        <f>[1]SUMMARY!$BR$49</f>
        <v>0</v>
      </c>
      <c r="FF27" s="27">
        <f>[1]SUMMARY!$BS$49</f>
        <v>0</v>
      </c>
      <c r="FG27" s="27">
        <f>[1]SUMMARY!$BT$49</f>
        <v>0</v>
      </c>
      <c r="FH27" s="46">
        <f>[1]SUMMARY!$BU$49</f>
        <v>44</v>
      </c>
      <c r="FI27" s="39"/>
      <c r="FJ27" s="36" t="s">
        <v>19</v>
      </c>
      <c r="FK27" s="37"/>
      <c r="FL27" s="26">
        <f>[1]SUMMARY!$BI$49</f>
        <v>4</v>
      </c>
      <c r="FM27" s="26">
        <f>[1]SUMMARY!$BJ$49</f>
        <v>19</v>
      </c>
      <c r="FN27" s="26">
        <f>[1]SUMMARY!$BK$49</f>
        <v>21</v>
      </c>
      <c r="FO27" s="26">
        <f>[1]SUMMARY!$BL$49</f>
        <v>0</v>
      </c>
      <c r="FP27" s="26">
        <f>[1]SUMMARY!$BM$49</f>
        <v>0</v>
      </c>
      <c r="FQ27" s="26">
        <f>[1]SUMMARY!$BN$49</f>
        <v>0</v>
      </c>
      <c r="FR27" s="26">
        <f>[1]SUMMARY!$BO$49</f>
        <v>0</v>
      </c>
      <c r="FS27" s="26">
        <f>[1]SUMMARY!$BP$49</f>
        <v>0</v>
      </c>
      <c r="FT27" s="26">
        <f>[1]SUMMARY!$BQ$49</f>
        <v>0</v>
      </c>
      <c r="FU27" s="26">
        <f>[1]SUMMARY!$BR$49</f>
        <v>0</v>
      </c>
      <c r="FV27" s="27">
        <f>[1]SUMMARY!$BS$49</f>
        <v>0</v>
      </c>
      <c r="FW27" s="27">
        <f>[1]SUMMARY!$BT$49</f>
        <v>0</v>
      </c>
      <c r="FX27" s="46">
        <f>[1]SUMMARY!$BU$49</f>
        <v>44</v>
      </c>
      <c r="FY27" s="39"/>
      <c r="GA27" s="36" t="s">
        <v>19</v>
      </c>
      <c r="GB27" s="37"/>
      <c r="GC27" s="26">
        <f>[1]SUMMARY!$BI$49</f>
        <v>4</v>
      </c>
      <c r="GD27" s="26">
        <f>[1]SUMMARY!$BJ$49</f>
        <v>19</v>
      </c>
      <c r="GE27" s="26">
        <f>[1]SUMMARY!$BK$49</f>
        <v>21</v>
      </c>
      <c r="GF27" s="26">
        <f>[1]SUMMARY!$BL$49</f>
        <v>0</v>
      </c>
      <c r="GG27" s="26">
        <f>[1]SUMMARY!$BM$49</f>
        <v>0</v>
      </c>
      <c r="GH27" s="26">
        <f>[1]SUMMARY!$BN$49</f>
        <v>0</v>
      </c>
      <c r="GI27" s="26">
        <f>[1]SUMMARY!$BO$49</f>
        <v>0</v>
      </c>
      <c r="GJ27" s="26">
        <f>[1]SUMMARY!$BP$49</f>
        <v>0</v>
      </c>
      <c r="GK27" s="26">
        <f>[1]SUMMARY!$BQ$49</f>
        <v>0</v>
      </c>
      <c r="GL27" s="26">
        <f>[1]SUMMARY!$BR$49</f>
        <v>0</v>
      </c>
      <c r="GM27" s="27">
        <f>[1]SUMMARY!$BS$49</f>
        <v>0</v>
      </c>
      <c r="GN27" s="27">
        <f>[1]SUMMARY!$BT$49</f>
        <v>0</v>
      </c>
      <c r="GO27" s="46">
        <f>[1]SUMMARY!$BU$49</f>
        <v>44</v>
      </c>
      <c r="GP27" s="39"/>
      <c r="GQ27" s="36" t="s">
        <v>19</v>
      </c>
      <c r="GR27" s="37"/>
      <c r="GS27" s="26">
        <f>[1]SUMMARY!$BI$49</f>
        <v>4</v>
      </c>
      <c r="GT27" s="26">
        <f>[1]SUMMARY!$BJ$49</f>
        <v>19</v>
      </c>
      <c r="GU27" s="26">
        <f>[1]SUMMARY!$BK$49</f>
        <v>21</v>
      </c>
      <c r="GV27" s="26">
        <f>[1]SUMMARY!$BL$49</f>
        <v>0</v>
      </c>
      <c r="GW27" s="26">
        <f>[1]SUMMARY!$BM$49</f>
        <v>0</v>
      </c>
      <c r="GX27" s="26">
        <f>[1]SUMMARY!$BN$49</f>
        <v>0</v>
      </c>
      <c r="GY27" s="26">
        <f>[1]SUMMARY!$BO$49</f>
        <v>0</v>
      </c>
      <c r="GZ27" s="26">
        <f>[1]SUMMARY!$BP$49</f>
        <v>0</v>
      </c>
      <c r="HA27" s="26">
        <f>[1]SUMMARY!$BQ$49</f>
        <v>0</v>
      </c>
      <c r="HB27" s="26">
        <f>[1]SUMMARY!$BR$49</f>
        <v>0</v>
      </c>
      <c r="HC27" s="27">
        <f>[1]SUMMARY!$BS$49</f>
        <v>0</v>
      </c>
      <c r="HD27" s="27">
        <f>[1]SUMMARY!$BT$49</f>
        <v>0</v>
      </c>
      <c r="HE27" s="46">
        <f>[1]SUMMARY!$BU$49</f>
        <v>44</v>
      </c>
      <c r="HF27" s="39"/>
      <c r="HH27" s="36" t="s">
        <v>19</v>
      </c>
      <c r="HI27" s="37"/>
      <c r="HJ27" s="26">
        <f>[1]SUMMARY!$BI$49</f>
        <v>4</v>
      </c>
      <c r="HK27" s="26">
        <f>[1]SUMMARY!$BJ$49</f>
        <v>19</v>
      </c>
      <c r="HL27" s="26">
        <f>[1]SUMMARY!$BK$49</f>
        <v>21</v>
      </c>
      <c r="HM27" s="26">
        <f>[1]SUMMARY!$BL$49</f>
        <v>0</v>
      </c>
      <c r="HN27" s="26">
        <f>[1]SUMMARY!$BM$49</f>
        <v>0</v>
      </c>
      <c r="HO27" s="26">
        <f>[1]SUMMARY!$BN$49</f>
        <v>0</v>
      </c>
      <c r="HP27" s="26">
        <f>[1]SUMMARY!$BO$49</f>
        <v>0</v>
      </c>
      <c r="HQ27" s="26">
        <f>[1]SUMMARY!$BP$49</f>
        <v>0</v>
      </c>
      <c r="HR27" s="26">
        <f>[1]SUMMARY!$BQ$49</f>
        <v>0</v>
      </c>
      <c r="HS27" s="26">
        <f>[1]SUMMARY!$BR$49</f>
        <v>0</v>
      </c>
      <c r="HT27" s="27">
        <f>[1]SUMMARY!$BS$49</f>
        <v>0</v>
      </c>
      <c r="HU27" s="27">
        <f>[1]SUMMARY!$BT$49</f>
        <v>0</v>
      </c>
      <c r="HV27" s="46">
        <f>[1]SUMMARY!$BU$49</f>
        <v>44</v>
      </c>
      <c r="HW27" s="39"/>
      <c r="HX27" s="36" t="s">
        <v>19</v>
      </c>
      <c r="HY27" s="37"/>
      <c r="HZ27" s="26">
        <f>[1]SUMMARY!$BI$49</f>
        <v>4</v>
      </c>
      <c r="IA27" s="26">
        <f>[1]SUMMARY!$BJ$49</f>
        <v>19</v>
      </c>
      <c r="IB27" s="26">
        <f>[1]SUMMARY!$BK$49</f>
        <v>21</v>
      </c>
      <c r="IC27" s="26">
        <f>[1]SUMMARY!$BL$49</f>
        <v>0</v>
      </c>
      <c r="ID27" s="26">
        <f>[1]SUMMARY!$BM$49</f>
        <v>0</v>
      </c>
      <c r="IE27" s="26">
        <f>[1]SUMMARY!$BN$49</f>
        <v>0</v>
      </c>
      <c r="IF27" s="26">
        <f>[1]SUMMARY!$BO$49</f>
        <v>0</v>
      </c>
      <c r="IG27" s="26">
        <f>[1]SUMMARY!$BP$49</f>
        <v>0</v>
      </c>
      <c r="IH27" s="26">
        <f>[1]SUMMARY!$BQ$49</f>
        <v>0</v>
      </c>
      <c r="II27" s="26">
        <f>[1]SUMMARY!$BR$49</f>
        <v>0</v>
      </c>
      <c r="IJ27" s="27">
        <f>[1]SUMMARY!$BS$49</f>
        <v>0</v>
      </c>
      <c r="IK27" s="27">
        <f>[1]SUMMARY!$BT$49</f>
        <v>0</v>
      </c>
      <c r="IL27" s="46">
        <f>[1]SUMMARY!$BU$49</f>
        <v>44</v>
      </c>
      <c r="IM27" s="39"/>
      <c r="IO27" s="36" t="s">
        <v>19</v>
      </c>
      <c r="IP27" s="37"/>
      <c r="IQ27" s="26">
        <f>[1]SUMMARY!$BI$49</f>
        <v>4</v>
      </c>
      <c r="IR27" s="26">
        <f>[1]SUMMARY!$BJ$49</f>
        <v>19</v>
      </c>
      <c r="IS27" s="26">
        <f>[1]SUMMARY!$BK$49</f>
        <v>21</v>
      </c>
      <c r="IT27" s="26">
        <f>[1]SUMMARY!$BL$49</f>
        <v>0</v>
      </c>
      <c r="IU27" s="26">
        <f>[1]SUMMARY!$BM$49</f>
        <v>0</v>
      </c>
      <c r="IV27" s="26">
        <f>[1]SUMMARY!$BN$49</f>
        <v>0</v>
      </c>
      <c r="IW27" s="26">
        <f>[1]SUMMARY!$BO$49</f>
        <v>0</v>
      </c>
      <c r="IX27" s="26">
        <f>[1]SUMMARY!$BP$49</f>
        <v>0</v>
      </c>
      <c r="IY27" s="26">
        <f>[1]SUMMARY!$BQ$49</f>
        <v>0</v>
      </c>
      <c r="IZ27" s="26">
        <f>[1]SUMMARY!$BR$49</f>
        <v>0</v>
      </c>
      <c r="JA27" s="27">
        <f>[1]SUMMARY!$BS$49</f>
        <v>0</v>
      </c>
      <c r="JB27" s="27">
        <f>[1]SUMMARY!$BT$49</f>
        <v>0</v>
      </c>
      <c r="JC27" s="46">
        <f>[1]SUMMARY!$BU$49</f>
        <v>44</v>
      </c>
      <c r="JD27" s="39"/>
      <c r="JE27" s="36" t="s">
        <v>19</v>
      </c>
      <c r="JF27" s="37"/>
      <c r="JG27" s="26">
        <f>[1]SUMMARY!$BI$49</f>
        <v>4</v>
      </c>
      <c r="JH27" s="26">
        <f>[1]SUMMARY!$BJ$49</f>
        <v>19</v>
      </c>
      <c r="JI27" s="26">
        <f>[1]SUMMARY!$BK$49</f>
        <v>21</v>
      </c>
      <c r="JJ27" s="26">
        <f>[1]SUMMARY!$BL$49</f>
        <v>0</v>
      </c>
      <c r="JK27" s="26">
        <f>[1]SUMMARY!$BM$49</f>
        <v>0</v>
      </c>
      <c r="JL27" s="26">
        <f>[1]SUMMARY!$BN$49</f>
        <v>0</v>
      </c>
      <c r="JM27" s="26">
        <f>[1]SUMMARY!$BO$49</f>
        <v>0</v>
      </c>
      <c r="JN27" s="29">
        <f>[1]SUMMARY!$BP$49</f>
        <v>0</v>
      </c>
      <c r="JO27" s="29">
        <f>[1]SUMMARY!$BQ$49</f>
        <v>0</v>
      </c>
      <c r="JP27" s="29">
        <f>[1]SUMMARY!$BR$49</f>
        <v>0</v>
      </c>
      <c r="JQ27" s="30">
        <f>[1]SUMMARY!$BS$49</f>
        <v>0</v>
      </c>
      <c r="JR27" s="30">
        <f>[1]SUMMARY!$BT$49</f>
        <v>0</v>
      </c>
      <c r="JS27" s="38">
        <f>[1]SUMMARY!$BU$49</f>
        <v>44</v>
      </c>
      <c r="JT27" s="39"/>
      <c r="JV27" s="36" t="s">
        <v>19</v>
      </c>
      <c r="JW27" s="37"/>
      <c r="JX27" s="26">
        <f>[1]SUMMARY!$BI$49</f>
        <v>4</v>
      </c>
      <c r="JY27" s="26">
        <f>[1]SUMMARY!$BJ$49</f>
        <v>19</v>
      </c>
      <c r="JZ27" s="26">
        <f>[1]SUMMARY!$BK$49</f>
        <v>21</v>
      </c>
      <c r="KA27" s="26">
        <f>[1]SUMMARY!$BL$49</f>
        <v>0</v>
      </c>
      <c r="KB27" s="26">
        <f>[1]SUMMARY!$BM$49</f>
        <v>0</v>
      </c>
      <c r="KC27" s="26">
        <f>[1]SUMMARY!$BN$49</f>
        <v>0</v>
      </c>
      <c r="KD27" s="26">
        <f>[1]SUMMARY!$BO$49</f>
        <v>0</v>
      </c>
      <c r="KE27" s="29">
        <f>[1]SUMMARY!$BP$49</f>
        <v>0</v>
      </c>
      <c r="KF27" s="29">
        <f>[1]SUMMARY!$BQ$49</f>
        <v>0</v>
      </c>
      <c r="KG27" s="29">
        <f>[1]SUMMARY!$BR$49</f>
        <v>0</v>
      </c>
      <c r="KH27" s="30">
        <f>[1]SUMMARY!$BS$49</f>
        <v>0</v>
      </c>
      <c r="KI27" s="30">
        <f>[1]SUMMARY!$BT$49</f>
        <v>0</v>
      </c>
      <c r="KJ27" s="38">
        <f>[1]SUMMARY!$BU$49</f>
        <v>44</v>
      </c>
      <c r="KK27" s="39"/>
      <c r="KL27" s="36" t="s">
        <v>19</v>
      </c>
      <c r="KM27" s="37"/>
      <c r="KN27" s="26">
        <f>[1]SUMMARY!$BI$49</f>
        <v>4</v>
      </c>
      <c r="KO27" s="26">
        <f>[1]SUMMARY!$BJ$49</f>
        <v>19</v>
      </c>
      <c r="KP27" s="26">
        <f>[1]SUMMARY!$BK$49</f>
        <v>21</v>
      </c>
      <c r="KQ27" s="26">
        <f>[1]SUMMARY!$BL$49</f>
        <v>0</v>
      </c>
      <c r="KR27" s="26">
        <f>[1]SUMMARY!$BM$49</f>
        <v>0</v>
      </c>
      <c r="KS27" s="26">
        <f>[1]SUMMARY!$BN$49</f>
        <v>0</v>
      </c>
      <c r="KT27" s="26">
        <f>[1]SUMMARY!$BO$49</f>
        <v>0</v>
      </c>
      <c r="KU27" s="29">
        <f>[1]SUMMARY!$BP$49</f>
        <v>0</v>
      </c>
      <c r="KV27" s="29">
        <f>[1]SUMMARY!$BQ$49</f>
        <v>0</v>
      </c>
      <c r="KW27" s="29">
        <f>[1]SUMMARY!$BR$49</f>
        <v>0</v>
      </c>
      <c r="KX27" s="30">
        <f>[1]SUMMARY!$BS$49</f>
        <v>0</v>
      </c>
      <c r="KY27" s="30">
        <f>[1]SUMMARY!$BT$49</f>
        <v>0</v>
      </c>
      <c r="KZ27" s="38">
        <f>[1]SUMMARY!$BU$49</f>
        <v>44</v>
      </c>
      <c r="LA27" s="39"/>
      <c r="LC27" s="36" t="s">
        <v>19</v>
      </c>
      <c r="LD27" s="37"/>
      <c r="LE27" s="26">
        <f>[1]SUMMARY!$BI$49</f>
        <v>4</v>
      </c>
      <c r="LF27" s="26">
        <f>[1]SUMMARY!$BJ$49</f>
        <v>19</v>
      </c>
      <c r="LG27" s="26">
        <f>[1]SUMMARY!$BK$49</f>
        <v>21</v>
      </c>
      <c r="LH27" s="26">
        <f>[1]SUMMARY!$BL$49</f>
        <v>0</v>
      </c>
      <c r="LI27" s="26">
        <f>[1]SUMMARY!$BM$49</f>
        <v>0</v>
      </c>
      <c r="LJ27" s="26">
        <f>[1]SUMMARY!$BN$49</f>
        <v>0</v>
      </c>
      <c r="LK27" s="26">
        <f>[1]SUMMARY!$BO$49</f>
        <v>0</v>
      </c>
      <c r="LL27" s="26">
        <f>[1]SUMMARY!$BP$49</f>
        <v>0</v>
      </c>
      <c r="LM27" s="26">
        <f>[1]SUMMARY!$BQ$49</f>
        <v>0</v>
      </c>
      <c r="LN27" s="26">
        <f>[1]SUMMARY!$BR$49</f>
        <v>0</v>
      </c>
      <c r="LO27" s="27">
        <f>[1]SUMMARY!$BS$49</f>
        <v>0</v>
      </c>
      <c r="LP27" s="27">
        <f>[1]SUMMARY!$BT$49</f>
        <v>0</v>
      </c>
      <c r="LQ27" s="46">
        <f>[1]SUMMARY!$BU$49</f>
        <v>44</v>
      </c>
      <c r="LR27" s="39"/>
    </row>
    <row r="28" spans="1:330" s="9" customFormat="1" x14ac:dyDescent="0.3">
      <c r="A28" s="36" t="s">
        <v>20</v>
      </c>
      <c r="B28" s="37"/>
      <c r="C28" s="26">
        <f>[1]SUMMARY!BI4</f>
        <v>4</v>
      </c>
      <c r="D28" s="26">
        <f>[1]SUMMARY!BJ4</f>
        <v>19</v>
      </c>
      <c r="E28" s="26">
        <f>[1]SUMMARY!BK4</f>
        <v>21</v>
      </c>
      <c r="F28" s="26">
        <f>[1]SUMMARY!BL4</f>
        <v>0</v>
      </c>
      <c r="G28" s="26">
        <f>[1]SUMMARY!BM4</f>
        <v>0</v>
      </c>
      <c r="H28" s="26">
        <f>[1]SUMMARY!BN4</f>
        <v>0</v>
      </c>
      <c r="I28" s="26">
        <f>[1]SUMMARY!BO4</f>
        <v>0</v>
      </c>
      <c r="J28" s="26">
        <f>[1]SUMMARY!BP4</f>
        <v>0</v>
      </c>
      <c r="K28" s="26">
        <f>[1]SUMMARY!BQ4</f>
        <v>0</v>
      </c>
      <c r="L28" s="26">
        <f>[1]SUMMARY!BR4</f>
        <v>0</v>
      </c>
      <c r="M28" s="27">
        <f>[1]SUMMARY!BS4</f>
        <v>0</v>
      </c>
      <c r="N28" s="27">
        <f>[1]SUMMARY!BT4</f>
        <v>0</v>
      </c>
      <c r="O28" s="38">
        <f>SUM(C28:N28)</f>
        <v>44</v>
      </c>
      <c r="P28" s="39"/>
      <c r="R28" s="36" t="s">
        <v>20</v>
      </c>
      <c r="S28" s="37"/>
      <c r="T28" s="26">
        <f>[1]SUMMARY!BI5</f>
        <v>4</v>
      </c>
      <c r="U28" s="26">
        <f>[1]SUMMARY!BJ5</f>
        <v>19</v>
      </c>
      <c r="V28" s="26">
        <f>[1]SUMMARY!BK5</f>
        <v>21</v>
      </c>
      <c r="W28" s="26">
        <f>[1]SUMMARY!BL5</f>
        <v>0</v>
      </c>
      <c r="X28" s="26">
        <f>[1]SUMMARY!BM5</f>
        <v>0</v>
      </c>
      <c r="Y28" s="26">
        <f>[1]SUMMARY!BN5</f>
        <v>0</v>
      </c>
      <c r="Z28" s="26">
        <f>[1]SUMMARY!BO5</f>
        <v>0</v>
      </c>
      <c r="AA28" s="26">
        <f>[1]SUMMARY!BP5</f>
        <v>0</v>
      </c>
      <c r="AB28" s="26">
        <f>[1]SUMMARY!BQ5</f>
        <v>0</v>
      </c>
      <c r="AC28" s="26">
        <f>[1]SUMMARY!BR5</f>
        <v>0</v>
      </c>
      <c r="AD28" s="27">
        <f>[1]SUMMARY!BS5</f>
        <v>0</v>
      </c>
      <c r="AE28" s="27">
        <f>[1]SUMMARY!BT5</f>
        <v>0</v>
      </c>
      <c r="AF28" s="38">
        <f>SUM(T28:AE28)</f>
        <v>44</v>
      </c>
      <c r="AG28" s="39"/>
      <c r="AH28" s="36" t="s">
        <v>20</v>
      </c>
      <c r="AI28" s="37"/>
      <c r="AJ28" s="26">
        <f>[1]SUMMARY!BI6</f>
        <v>4</v>
      </c>
      <c r="AK28" s="26">
        <f>[1]SUMMARY!BJ6</f>
        <v>19</v>
      </c>
      <c r="AL28" s="26">
        <f>[1]SUMMARY!BK6</f>
        <v>21</v>
      </c>
      <c r="AM28" s="26">
        <f>[1]SUMMARY!BL6</f>
        <v>0</v>
      </c>
      <c r="AN28" s="26">
        <f>[1]SUMMARY!BM6</f>
        <v>0</v>
      </c>
      <c r="AO28" s="26">
        <f>[1]SUMMARY!BN6</f>
        <v>0</v>
      </c>
      <c r="AP28" s="26">
        <f>[1]SUMMARY!BO6</f>
        <v>0</v>
      </c>
      <c r="AQ28" s="26">
        <f>[1]SUMMARY!BP6</f>
        <v>0</v>
      </c>
      <c r="AR28" s="26">
        <f>[1]SUMMARY!BQ6</f>
        <v>0</v>
      </c>
      <c r="AS28" s="26">
        <f>[1]SUMMARY!BR6</f>
        <v>0</v>
      </c>
      <c r="AT28" s="27">
        <f>[1]SUMMARY!BS6</f>
        <v>0</v>
      </c>
      <c r="AU28" s="27">
        <f>[1]SUMMARY!BT6</f>
        <v>0</v>
      </c>
      <c r="AV28" s="38">
        <f>SUM(AJ28:AU28)</f>
        <v>44</v>
      </c>
      <c r="AW28" s="39"/>
      <c r="AY28" s="36" t="s">
        <v>20</v>
      </c>
      <c r="AZ28" s="37"/>
      <c r="BA28" s="26">
        <f>[1]SUMMARY!BI7</f>
        <v>4</v>
      </c>
      <c r="BB28" s="26">
        <f>[1]SUMMARY!BJ7</f>
        <v>19</v>
      </c>
      <c r="BC28" s="26">
        <f>[1]SUMMARY!BK7</f>
        <v>21</v>
      </c>
      <c r="BD28" s="26">
        <f>[1]SUMMARY!BL7</f>
        <v>0</v>
      </c>
      <c r="BE28" s="26">
        <f>[1]SUMMARY!BM7</f>
        <v>0</v>
      </c>
      <c r="BF28" s="26">
        <f>[1]SUMMARY!BN7</f>
        <v>0</v>
      </c>
      <c r="BG28" s="26">
        <f>[1]SUMMARY!BO7</f>
        <v>0</v>
      </c>
      <c r="BH28" s="26">
        <f>[1]SUMMARY!BP7</f>
        <v>0</v>
      </c>
      <c r="BI28" s="26">
        <f>[1]SUMMARY!BQ7</f>
        <v>0</v>
      </c>
      <c r="BJ28" s="26">
        <f>[1]SUMMARY!BR7</f>
        <v>0</v>
      </c>
      <c r="BK28" s="27">
        <f>[1]SUMMARY!BS7</f>
        <v>0</v>
      </c>
      <c r="BL28" s="27">
        <f>[1]SUMMARY!BT7</f>
        <v>0</v>
      </c>
      <c r="BM28" s="38">
        <f>SUM(BA28:BL28)</f>
        <v>44</v>
      </c>
      <c r="BN28" s="39"/>
      <c r="BO28" s="36" t="s">
        <v>20</v>
      </c>
      <c r="BP28" s="37"/>
      <c r="BQ28" s="26">
        <f>[1]SUMMARY!BI8</f>
        <v>4</v>
      </c>
      <c r="BR28" s="26">
        <f>[1]SUMMARY!BJ8</f>
        <v>19</v>
      </c>
      <c r="BS28" s="26">
        <f>[1]SUMMARY!BK8</f>
        <v>21</v>
      </c>
      <c r="BT28" s="26">
        <f>[1]SUMMARY!BL8</f>
        <v>0</v>
      </c>
      <c r="BU28" s="26">
        <f>[1]SUMMARY!BM8</f>
        <v>0</v>
      </c>
      <c r="BV28" s="26">
        <f>[1]SUMMARY!BN8</f>
        <v>0</v>
      </c>
      <c r="BW28" s="26">
        <f>[1]SUMMARY!BO8</f>
        <v>0</v>
      </c>
      <c r="BX28" s="26">
        <f>[1]SUMMARY!BP8</f>
        <v>0</v>
      </c>
      <c r="BY28" s="26">
        <f>[1]SUMMARY!BQ8</f>
        <v>0</v>
      </c>
      <c r="BZ28" s="26">
        <f>[1]SUMMARY!BR8</f>
        <v>0</v>
      </c>
      <c r="CA28" s="27">
        <f>[1]SUMMARY!BS8</f>
        <v>0</v>
      </c>
      <c r="CB28" s="27">
        <f>[1]SUMMARY!BT8</f>
        <v>0</v>
      </c>
      <c r="CC28" s="38">
        <f>SUM(BQ28:CB28)</f>
        <v>44</v>
      </c>
      <c r="CD28" s="39"/>
      <c r="CF28" s="36" t="s">
        <v>20</v>
      </c>
      <c r="CG28" s="37"/>
      <c r="CH28" s="26">
        <f>[1]SUMMARY!BI9</f>
        <v>4</v>
      </c>
      <c r="CI28" s="26">
        <f>[1]SUMMARY!BJ9</f>
        <v>19</v>
      </c>
      <c r="CJ28" s="26">
        <f>[1]SUMMARY!BK9</f>
        <v>21</v>
      </c>
      <c r="CK28" s="26">
        <f>[1]SUMMARY!BL9</f>
        <v>0</v>
      </c>
      <c r="CL28" s="26">
        <f>[1]SUMMARY!BM9</f>
        <v>0</v>
      </c>
      <c r="CM28" s="26">
        <f>[1]SUMMARY!BN9</f>
        <v>0</v>
      </c>
      <c r="CN28" s="26">
        <f>[1]SUMMARY!BO9</f>
        <v>0</v>
      </c>
      <c r="CO28" s="26">
        <f>[1]SUMMARY!BP9</f>
        <v>0</v>
      </c>
      <c r="CP28" s="26">
        <f>[1]SUMMARY!BQ9</f>
        <v>0</v>
      </c>
      <c r="CQ28" s="26">
        <f>[1]SUMMARY!BR9</f>
        <v>0</v>
      </c>
      <c r="CR28" s="27">
        <f>[1]SUMMARY!BS9</f>
        <v>0</v>
      </c>
      <c r="CS28" s="27">
        <f>[1]SUMMARY!BT9</f>
        <v>0</v>
      </c>
      <c r="CT28" s="38">
        <f>SUM(CH28:CS28)</f>
        <v>44</v>
      </c>
      <c r="CU28" s="39"/>
      <c r="CV28" s="36" t="s">
        <v>20</v>
      </c>
      <c r="CW28" s="37"/>
      <c r="CX28" s="26">
        <f>[1]SUMMARY!BI10</f>
        <v>4</v>
      </c>
      <c r="CY28" s="26">
        <f>[1]SUMMARY!BJ10</f>
        <v>19</v>
      </c>
      <c r="CZ28" s="26">
        <f>[1]SUMMARY!BK10</f>
        <v>21</v>
      </c>
      <c r="DA28" s="26">
        <f>[1]SUMMARY!BL10</f>
        <v>0</v>
      </c>
      <c r="DB28" s="26">
        <f>[1]SUMMARY!BM10</f>
        <v>0</v>
      </c>
      <c r="DC28" s="26">
        <f>[1]SUMMARY!BN10</f>
        <v>0</v>
      </c>
      <c r="DD28" s="26">
        <f>[1]SUMMARY!BO10</f>
        <v>0</v>
      </c>
      <c r="DE28" s="26">
        <f>[1]SUMMARY!BP10</f>
        <v>0</v>
      </c>
      <c r="DF28" s="26">
        <f>[1]SUMMARY!BQ10</f>
        <v>0</v>
      </c>
      <c r="DG28" s="26">
        <f>[1]SUMMARY!BR10</f>
        <v>0</v>
      </c>
      <c r="DH28" s="27">
        <f>[1]SUMMARY!BS10</f>
        <v>0</v>
      </c>
      <c r="DI28" s="27">
        <f>[1]SUMMARY!BT10</f>
        <v>0</v>
      </c>
      <c r="DJ28" s="38">
        <f>SUM(CX28:DI28)</f>
        <v>44</v>
      </c>
      <c r="DK28" s="39"/>
      <c r="DM28" s="36" t="s">
        <v>20</v>
      </c>
      <c r="DN28" s="37"/>
      <c r="DO28" s="26">
        <f>[1]SUMMARY!BI11</f>
        <v>4</v>
      </c>
      <c r="DP28" s="26">
        <f>[1]SUMMARY!BJ11</f>
        <v>19</v>
      </c>
      <c r="DQ28" s="26">
        <f>[1]SUMMARY!BK11</f>
        <v>21</v>
      </c>
      <c r="DR28" s="26">
        <f>[1]SUMMARY!BL11</f>
        <v>0</v>
      </c>
      <c r="DS28" s="26">
        <f>[1]SUMMARY!BM11</f>
        <v>0</v>
      </c>
      <c r="DT28" s="26">
        <f>[1]SUMMARY!BN11</f>
        <v>0</v>
      </c>
      <c r="DU28" s="26">
        <f>[1]SUMMARY!BO11</f>
        <v>0</v>
      </c>
      <c r="DV28" s="26">
        <f>[1]SUMMARY!BP11</f>
        <v>0</v>
      </c>
      <c r="DW28" s="26">
        <f>[1]SUMMARY!BQ11</f>
        <v>0</v>
      </c>
      <c r="DX28" s="26">
        <f>[1]SUMMARY!BR11</f>
        <v>0</v>
      </c>
      <c r="DY28" s="27">
        <f>[1]SUMMARY!BS11</f>
        <v>0</v>
      </c>
      <c r="DZ28" s="27">
        <f>[1]SUMMARY!BT11</f>
        <v>0</v>
      </c>
      <c r="EA28" s="38">
        <f>SUM(DO28:DZ28)</f>
        <v>44</v>
      </c>
      <c r="EB28" s="39"/>
      <c r="EC28" s="36" t="s">
        <v>20</v>
      </c>
      <c r="ED28" s="37"/>
      <c r="EE28" s="26">
        <f>[1]SUMMARY!BI12</f>
        <v>4</v>
      </c>
      <c r="EF28" s="26">
        <f>[1]SUMMARY!BJ12</f>
        <v>19</v>
      </c>
      <c r="EG28" s="26">
        <f>[1]SUMMARY!BK12</f>
        <v>21</v>
      </c>
      <c r="EH28" s="26">
        <f>[1]SUMMARY!BL12</f>
        <v>0</v>
      </c>
      <c r="EI28" s="26">
        <f>[1]SUMMARY!BM12</f>
        <v>0</v>
      </c>
      <c r="EJ28" s="26">
        <f>[1]SUMMARY!BN12</f>
        <v>0</v>
      </c>
      <c r="EK28" s="26">
        <f>[1]SUMMARY!BO12</f>
        <v>0</v>
      </c>
      <c r="EL28" s="26">
        <f>[1]SUMMARY!BP12</f>
        <v>0</v>
      </c>
      <c r="EM28" s="26">
        <f>[1]SUMMARY!BQ12</f>
        <v>0</v>
      </c>
      <c r="EN28" s="26">
        <f>[1]SUMMARY!BR12</f>
        <v>0</v>
      </c>
      <c r="EO28" s="27">
        <f>[1]SUMMARY!BS12</f>
        <v>0</v>
      </c>
      <c r="EP28" s="27">
        <f>[1]SUMMARY!BT12</f>
        <v>0</v>
      </c>
      <c r="EQ28" s="38">
        <f>SUM(EE28:EP28)</f>
        <v>44</v>
      </c>
      <c r="ER28" s="39"/>
      <c r="ET28" s="36" t="s">
        <v>20</v>
      </c>
      <c r="EU28" s="37"/>
      <c r="EV28" s="26">
        <f>[1]SUMMARY!BI13</f>
        <v>4</v>
      </c>
      <c r="EW28" s="26">
        <f>[1]SUMMARY!BJ13</f>
        <v>19</v>
      </c>
      <c r="EX28" s="26">
        <f>[1]SUMMARY!BK13</f>
        <v>21</v>
      </c>
      <c r="EY28" s="26">
        <f>[1]SUMMARY!BL13</f>
        <v>0</v>
      </c>
      <c r="EZ28" s="26">
        <f>[1]SUMMARY!BM13</f>
        <v>0</v>
      </c>
      <c r="FA28" s="26">
        <f>[1]SUMMARY!BN13</f>
        <v>0</v>
      </c>
      <c r="FB28" s="26">
        <f>[1]SUMMARY!BO13</f>
        <v>0</v>
      </c>
      <c r="FC28" s="26">
        <f>[1]SUMMARY!BP13</f>
        <v>0</v>
      </c>
      <c r="FD28" s="26">
        <f>[1]SUMMARY!BQ13</f>
        <v>0</v>
      </c>
      <c r="FE28" s="26">
        <f>[1]SUMMARY!BR13</f>
        <v>0</v>
      </c>
      <c r="FF28" s="27">
        <f>[1]SUMMARY!BS13</f>
        <v>0</v>
      </c>
      <c r="FG28" s="27">
        <f>[1]SUMMARY!BT13</f>
        <v>0</v>
      </c>
      <c r="FH28" s="38">
        <f>SUM(EV28:FG28)</f>
        <v>44</v>
      </c>
      <c r="FI28" s="39"/>
      <c r="FJ28" s="36" t="s">
        <v>20</v>
      </c>
      <c r="FK28" s="37"/>
      <c r="FL28" s="26">
        <f>[1]SUMMARY!BI14</f>
        <v>4</v>
      </c>
      <c r="FM28" s="26">
        <f>[1]SUMMARY!BJ14</f>
        <v>19</v>
      </c>
      <c r="FN28" s="26">
        <f>[1]SUMMARY!BK14</f>
        <v>21</v>
      </c>
      <c r="FO28" s="26">
        <f>[1]SUMMARY!BL14</f>
        <v>0</v>
      </c>
      <c r="FP28" s="26">
        <f>[1]SUMMARY!BM14</f>
        <v>0</v>
      </c>
      <c r="FQ28" s="26">
        <f>[1]SUMMARY!BN14</f>
        <v>0</v>
      </c>
      <c r="FR28" s="26">
        <f>[1]SUMMARY!BO14</f>
        <v>0</v>
      </c>
      <c r="FS28" s="26">
        <f>[1]SUMMARY!BP14</f>
        <v>0</v>
      </c>
      <c r="FT28" s="26">
        <f>[1]SUMMARY!BQ14</f>
        <v>0</v>
      </c>
      <c r="FU28" s="26">
        <f>[1]SUMMARY!BR14</f>
        <v>0</v>
      </c>
      <c r="FV28" s="27">
        <f>[1]SUMMARY!BS14</f>
        <v>0</v>
      </c>
      <c r="FW28" s="27">
        <f>[1]SUMMARY!BT14</f>
        <v>0</v>
      </c>
      <c r="FX28" s="38">
        <f>SUM(FL28:FW28)</f>
        <v>44</v>
      </c>
      <c r="FY28" s="39"/>
      <c r="GA28" s="36" t="s">
        <v>20</v>
      </c>
      <c r="GB28" s="37"/>
      <c r="GC28" s="26">
        <f>[1]SUMMARY!BI15</f>
        <v>4</v>
      </c>
      <c r="GD28" s="26">
        <f>[1]SUMMARY!BJ15</f>
        <v>19</v>
      </c>
      <c r="GE28" s="26">
        <f>[1]SUMMARY!BK15</f>
        <v>21</v>
      </c>
      <c r="GF28" s="26">
        <f>[1]SUMMARY!BL15</f>
        <v>0</v>
      </c>
      <c r="GG28" s="26">
        <f>[1]SUMMARY!BM15</f>
        <v>0</v>
      </c>
      <c r="GH28" s="26">
        <f>[1]SUMMARY!BN15</f>
        <v>0</v>
      </c>
      <c r="GI28" s="26">
        <f>[1]SUMMARY!BO15</f>
        <v>0</v>
      </c>
      <c r="GJ28" s="26">
        <f>[1]SUMMARY!BP15</f>
        <v>0</v>
      </c>
      <c r="GK28" s="26">
        <f>[1]SUMMARY!BQ15</f>
        <v>0</v>
      </c>
      <c r="GL28" s="26">
        <f>[1]SUMMARY!BR15</f>
        <v>0</v>
      </c>
      <c r="GM28" s="27">
        <f>[1]SUMMARY!BS15</f>
        <v>0</v>
      </c>
      <c r="GN28" s="27">
        <f>[1]SUMMARY!BT15</f>
        <v>0</v>
      </c>
      <c r="GO28" s="38">
        <f>SUM(GC28:GN28)</f>
        <v>44</v>
      </c>
      <c r="GP28" s="39"/>
      <c r="GQ28" s="36" t="s">
        <v>20</v>
      </c>
      <c r="GR28" s="37"/>
      <c r="GS28" s="26">
        <f>[1]SUMMARY!BI16</f>
        <v>4</v>
      </c>
      <c r="GT28" s="26">
        <f>[1]SUMMARY!BJ16</f>
        <v>19</v>
      </c>
      <c r="GU28" s="26">
        <f>[1]SUMMARY!BK16</f>
        <v>21</v>
      </c>
      <c r="GV28" s="26">
        <f>[1]SUMMARY!BL16</f>
        <v>0</v>
      </c>
      <c r="GW28" s="26">
        <f>[1]SUMMARY!BM16</f>
        <v>0</v>
      </c>
      <c r="GX28" s="26">
        <f>[1]SUMMARY!BN16</f>
        <v>0</v>
      </c>
      <c r="GY28" s="26">
        <f>[1]SUMMARY!BO16</f>
        <v>0</v>
      </c>
      <c r="GZ28" s="26">
        <f>[1]SUMMARY!BP16</f>
        <v>0</v>
      </c>
      <c r="HA28" s="26">
        <f>[1]SUMMARY!BQ16</f>
        <v>0</v>
      </c>
      <c r="HB28" s="26">
        <f>[1]SUMMARY!BR16</f>
        <v>0</v>
      </c>
      <c r="HC28" s="27">
        <f>[1]SUMMARY!BS16</f>
        <v>0</v>
      </c>
      <c r="HD28" s="27">
        <f>[1]SUMMARY!BT16</f>
        <v>0</v>
      </c>
      <c r="HE28" s="38">
        <f>SUM(GS28:HD28)</f>
        <v>44</v>
      </c>
      <c r="HF28" s="39"/>
      <c r="HH28" s="36" t="s">
        <v>20</v>
      </c>
      <c r="HI28" s="37"/>
      <c r="HJ28" s="26">
        <f>[1]SUMMARY!BI17</f>
        <v>4</v>
      </c>
      <c r="HK28" s="26">
        <f>[1]SUMMARY!BJ17</f>
        <v>19</v>
      </c>
      <c r="HL28" s="26">
        <f>[1]SUMMARY!BK17</f>
        <v>21</v>
      </c>
      <c r="HM28" s="26">
        <f>[1]SUMMARY!BL17</f>
        <v>0</v>
      </c>
      <c r="HN28" s="26">
        <f>[1]SUMMARY!BM17</f>
        <v>0</v>
      </c>
      <c r="HO28" s="26">
        <f>[1]SUMMARY!BN17</f>
        <v>0</v>
      </c>
      <c r="HP28" s="26">
        <f>[1]SUMMARY!BO17</f>
        <v>0</v>
      </c>
      <c r="HQ28" s="26">
        <f>[1]SUMMARY!BP17</f>
        <v>0</v>
      </c>
      <c r="HR28" s="26">
        <f>[1]SUMMARY!BQ17</f>
        <v>0</v>
      </c>
      <c r="HS28" s="26">
        <f>[1]SUMMARY!BR17</f>
        <v>0</v>
      </c>
      <c r="HT28" s="27">
        <f>[1]SUMMARY!BS17</f>
        <v>0</v>
      </c>
      <c r="HU28" s="27">
        <f>[1]SUMMARY!BT17</f>
        <v>0</v>
      </c>
      <c r="HV28" s="38">
        <f>SUM(HJ28:HU28)</f>
        <v>44</v>
      </c>
      <c r="HW28" s="39"/>
      <c r="HX28" s="36" t="s">
        <v>20</v>
      </c>
      <c r="HY28" s="37"/>
      <c r="HZ28" s="26">
        <f>[1]SUMMARY!BI18</f>
        <v>4</v>
      </c>
      <c r="IA28" s="26">
        <f>[1]SUMMARY!BJ18</f>
        <v>19</v>
      </c>
      <c r="IB28" s="26">
        <f>[1]SUMMARY!BK18</f>
        <v>21</v>
      </c>
      <c r="IC28" s="26">
        <f>[1]SUMMARY!BL18</f>
        <v>0</v>
      </c>
      <c r="ID28" s="26">
        <f>[1]SUMMARY!BM18</f>
        <v>0</v>
      </c>
      <c r="IE28" s="26">
        <f>[1]SUMMARY!BN18</f>
        <v>0</v>
      </c>
      <c r="IF28" s="26">
        <f>[1]SUMMARY!BO18</f>
        <v>0</v>
      </c>
      <c r="IG28" s="26">
        <f>[1]SUMMARY!BP18</f>
        <v>0</v>
      </c>
      <c r="IH28" s="26">
        <f>[1]SUMMARY!BQ18</f>
        <v>0</v>
      </c>
      <c r="II28" s="26">
        <f>[1]SUMMARY!BR18</f>
        <v>0</v>
      </c>
      <c r="IJ28" s="27">
        <f>[1]SUMMARY!BS18</f>
        <v>0</v>
      </c>
      <c r="IK28" s="27">
        <f>[1]SUMMARY!BT18</f>
        <v>0</v>
      </c>
      <c r="IL28" s="38">
        <f>SUM(HZ28:IK28)</f>
        <v>44</v>
      </c>
      <c r="IM28" s="39"/>
      <c r="IO28" s="36" t="s">
        <v>20</v>
      </c>
      <c r="IP28" s="37"/>
      <c r="IQ28" s="26">
        <f>[1]SUMMARY!BI19</f>
        <v>4</v>
      </c>
      <c r="IR28" s="26">
        <f>[1]SUMMARY!BJ19</f>
        <v>19</v>
      </c>
      <c r="IS28" s="26">
        <f>[1]SUMMARY!BK19</f>
        <v>21</v>
      </c>
      <c r="IT28" s="26">
        <f>[1]SUMMARY!BL19</f>
        <v>0</v>
      </c>
      <c r="IU28" s="26">
        <f>[1]SUMMARY!BM19</f>
        <v>0</v>
      </c>
      <c r="IV28" s="26">
        <f>[1]SUMMARY!BN19</f>
        <v>0</v>
      </c>
      <c r="IW28" s="26">
        <f>[1]SUMMARY!BO19</f>
        <v>0</v>
      </c>
      <c r="IX28" s="26">
        <f>[1]SUMMARY!BP19</f>
        <v>0</v>
      </c>
      <c r="IY28" s="26">
        <f>[1]SUMMARY!BQ19</f>
        <v>0</v>
      </c>
      <c r="IZ28" s="26">
        <f>[1]SUMMARY!BR19</f>
        <v>0</v>
      </c>
      <c r="JA28" s="27">
        <f>[1]SUMMARY!BS19</f>
        <v>0</v>
      </c>
      <c r="JB28" s="27">
        <f>[1]SUMMARY!BT19</f>
        <v>0</v>
      </c>
      <c r="JC28" s="38">
        <f>SUM(IQ28:JB28)</f>
        <v>44</v>
      </c>
      <c r="JD28" s="39"/>
      <c r="JE28" s="36" t="s">
        <v>20</v>
      </c>
      <c r="JF28" s="37"/>
      <c r="JG28" s="26">
        <f>[1]SUMMARY!BI20</f>
        <v>4</v>
      </c>
      <c r="JH28" s="26">
        <f>[1]SUMMARY!BJ20</f>
        <v>19</v>
      </c>
      <c r="JI28" s="26">
        <f>[1]SUMMARY!BK20</f>
        <v>21</v>
      </c>
      <c r="JJ28" s="26">
        <f>[1]SUMMARY!BL20</f>
        <v>0</v>
      </c>
      <c r="JK28" s="26">
        <f>[1]SUMMARY!BM20</f>
        <v>0</v>
      </c>
      <c r="JL28" s="26">
        <f>[1]SUMMARY!BN20</f>
        <v>0</v>
      </c>
      <c r="JM28" s="26">
        <f>[1]SUMMARY!BO20</f>
        <v>0</v>
      </c>
      <c r="JN28" s="26">
        <f>[1]SUMMARY!BP20</f>
        <v>0</v>
      </c>
      <c r="JO28" s="26">
        <f>[1]SUMMARY!BQ20</f>
        <v>0</v>
      </c>
      <c r="JP28" s="26">
        <f>[1]SUMMARY!BR20</f>
        <v>0</v>
      </c>
      <c r="JQ28" s="27">
        <f>[1]SUMMARY!BS20</f>
        <v>0</v>
      </c>
      <c r="JR28" s="27">
        <f>[1]SUMMARY!BT20</f>
        <v>0</v>
      </c>
      <c r="JS28" s="38">
        <f>SUM(JG28:JR28)</f>
        <v>44</v>
      </c>
      <c r="JT28" s="39"/>
      <c r="JV28" s="36" t="s">
        <v>20</v>
      </c>
      <c r="JW28" s="37"/>
      <c r="JX28" s="26">
        <f>[1]SUMMARY!BI21</f>
        <v>4</v>
      </c>
      <c r="JY28" s="26">
        <f>[1]SUMMARY!BJ21</f>
        <v>19</v>
      </c>
      <c r="JZ28" s="26">
        <f>[1]SUMMARY!BK21</f>
        <v>21</v>
      </c>
      <c r="KA28" s="26">
        <f>[1]SUMMARY!BL21</f>
        <v>0</v>
      </c>
      <c r="KB28" s="26">
        <f>[1]SUMMARY!BM21</f>
        <v>0</v>
      </c>
      <c r="KC28" s="26">
        <f>[1]SUMMARY!BN21</f>
        <v>0</v>
      </c>
      <c r="KD28" s="26">
        <f>[1]SUMMARY!BO21</f>
        <v>0</v>
      </c>
      <c r="KE28" s="26">
        <f>[1]SUMMARY!BP21</f>
        <v>0</v>
      </c>
      <c r="KF28" s="26">
        <f>[1]SUMMARY!BQ21</f>
        <v>0</v>
      </c>
      <c r="KG28" s="26">
        <f>[1]SUMMARY!BR21</f>
        <v>0</v>
      </c>
      <c r="KH28" s="27">
        <f>[1]SUMMARY!BS21</f>
        <v>0</v>
      </c>
      <c r="KI28" s="27">
        <f>[1]SUMMARY!BT21</f>
        <v>0</v>
      </c>
      <c r="KJ28" s="38">
        <f>SUM(JX28:KI28)</f>
        <v>44</v>
      </c>
      <c r="KK28" s="39"/>
      <c r="KL28" s="36" t="s">
        <v>20</v>
      </c>
      <c r="KM28" s="37"/>
      <c r="KN28" s="26">
        <f>[1]SUMMARY!BI22</f>
        <v>4</v>
      </c>
      <c r="KO28" s="26">
        <f>[1]SUMMARY!BJ22</f>
        <v>19</v>
      </c>
      <c r="KP28" s="26">
        <f>[1]SUMMARY!BK22</f>
        <v>21</v>
      </c>
      <c r="KQ28" s="26">
        <f>[1]SUMMARY!BL22</f>
        <v>0</v>
      </c>
      <c r="KR28" s="26">
        <f>[1]SUMMARY!BM22</f>
        <v>0</v>
      </c>
      <c r="KS28" s="26">
        <f>[1]SUMMARY!BN22</f>
        <v>0</v>
      </c>
      <c r="KT28" s="26">
        <f>[1]SUMMARY!BO22</f>
        <v>0</v>
      </c>
      <c r="KU28" s="26">
        <f>[1]SUMMARY!BP22</f>
        <v>0</v>
      </c>
      <c r="KV28" s="26">
        <f>[1]SUMMARY!BQ22</f>
        <v>0</v>
      </c>
      <c r="KW28" s="26">
        <f>[1]SUMMARY!BR22</f>
        <v>0</v>
      </c>
      <c r="KX28" s="27">
        <f>[1]SUMMARY!BS22</f>
        <v>0</v>
      </c>
      <c r="KY28" s="27">
        <f>[1]SUMMARY!BT22</f>
        <v>0</v>
      </c>
      <c r="KZ28" s="38">
        <f>SUM(KN28:KY28)</f>
        <v>44</v>
      </c>
      <c r="LA28" s="39"/>
      <c r="LC28" s="36" t="s">
        <v>20</v>
      </c>
      <c r="LD28" s="37"/>
      <c r="LE28" s="26">
        <f>[1]SUMMARY!BI23</f>
        <v>4</v>
      </c>
      <c r="LF28" s="26">
        <f>[1]SUMMARY!BJ23</f>
        <v>19</v>
      </c>
      <c r="LG28" s="26">
        <f>[1]SUMMARY!BK23</f>
        <v>21</v>
      </c>
      <c r="LH28" s="26">
        <f>[1]SUMMARY!BL23</f>
        <v>0</v>
      </c>
      <c r="LI28" s="26">
        <f>[1]SUMMARY!BM23</f>
        <v>0</v>
      </c>
      <c r="LJ28" s="26">
        <f>[1]SUMMARY!BN23</f>
        <v>0</v>
      </c>
      <c r="LK28" s="26">
        <f>[1]SUMMARY!BO23</f>
        <v>0</v>
      </c>
      <c r="LL28" s="26">
        <f>[1]SUMMARY!BP23</f>
        <v>0</v>
      </c>
      <c r="LM28" s="26">
        <f>[1]SUMMARY!BQ23</f>
        <v>0</v>
      </c>
      <c r="LN28" s="26">
        <f>[1]SUMMARY!BR23</f>
        <v>0</v>
      </c>
      <c r="LO28" s="27">
        <f>[1]SUMMARY!BS23</f>
        <v>0</v>
      </c>
      <c r="LP28" s="27">
        <f>[1]SUMMARY!BT23</f>
        <v>0</v>
      </c>
      <c r="LQ28" s="38">
        <f>SUM(LE28:LP28)</f>
        <v>44</v>
      </c>
      <c r="LR28" s="39"/>
    </row>
    <row r="29" spans="1:330" s="9" customFormat="1" x14ac:dyDescent="0.3">
      <c r="A29" s="36" t="s">
        <v>21</v>
      </c>
      <c r="B29" s="37"/>
      <c r="C29" s="26">
        <f>[1]SUMMARY!BV4</f>
        <v>0</v>
      </c>
      <c r="D29" s="26">
        <f>[1]SUMMARY!BW4</f>
        <v>0</v>
      </c>
      <c r="E29" s="26">
        <f>[1]SUMMARY!BX4</f>
        <v>0</v>
      </c>
      <c r="F29" s="26">
        <f>[1]SUMMARY!BY4</f>
        <v>0</v>
      </c>
      <c r="G29" s="26">
        <f>[1]SUMMARY!BZ4</f>
        <v>0</v>
      </c>
      <c r="H29" s="26">
        <f>[1]SUMMARY!CA4</f>
        <v>0</v>
      </c>
      <c r="I29" s="26">
        <f>[1]SUMMARY!CB4</f>
        <v>0</v>
      </c>
      <c r="J29" s="26">
        <f>[1]SUMMARY!CC4</f>
        <v>0</v>
      </c>
      <c r="K29" s="26">
        <f>[1]SUMMARY!CD4</f>
        <v>0</v>
      </c>
      <c r="L29" s="26">
        <f>[1]SUMMARY!CE4</f>
        <v>0</v>
      </c>
      <c r="M29" s="27">
        <f>[1]SUMMARY!CF4</f>
        <v>0</v>
      </c>
      <c r="N29" s="27">
        <f>[1]SUMMARY!CG4</f>
        <v>0</v>
      </c>
      <c r="O29" s="38">
        <f>SUM(C29:N29)</f>
        <v>0</v>
      </c>
      <c r="P29" s="39"/>
      <c r="R29" s="36" t="s">
        <v>21</v>
      </c>
      <c r="S29" s="37"/>
      <c r="T29" s="26">
        <f>[1]SUMMARY!BV5</f>
        <v>0</v>
      </c>
      <c r="U29" s="26">
        <f>[1]SUMMARY!BW5</f>
        <v>0</v>
      </c>
      <c r="V29" s="26">
        <f>[1]SUMMARY!BX5</f>
        <v>1</v>
      </c>
      <c r="W29" s="26">
        <f>[1]SUMMARY!BY5</f>
        <v>0</v>
      </c>
      <c r="X29" s="26">
        <f>[1]SUMMARY!BZ5</f>
        <v>0</v>
      </c>
      <c r="Y29" s="26">
        <f>[1]SUMMARY!CA5</f>
        <v>0</v>
      </c>
      <c r="Z29" s="26">
        <f>[1]SUMMARY!CB5</f>
        <v>0</v>
      </c>
      <c r="AA29" s="26">
        <f>[1]SUMMARY!CC5</f>
        <v>0</v>
      </c>
      <c r="AB29" s="26">
        <f>[1]SUMMARY!CD5</f>
        <v>0</v>
      </c>
      <c r="AC29" s="26">
        <f>[1]SUMMARY!CE5</f>
        <v>0</v>
      </c>
      <c r="AD29" s="27">
        <f>[1]SUMMARY!CF5</f>
        <v>0</v>
      </c>
      <c r="AE29" s="27">
        <f>[1]SUMMARY!CG5</f>
        <v>0</v>
      </c>
      <c r="AF29" s="38">
        <f>SUM(T29:AE29)</f>
        <v>1</v>
      </c>
      <c r="AG29" s="39"/>
      <c r="AH29" s="36" t="s">
        <v>21</v>
      </c>
      <c r="AI29" s="37"/>
      <c r="AJ29" s="26">
        <f>[1]SUMMARY!BV6</f>
        <v>0</v>
      </c>
      <c r="AK29" s="26">
        <f>[1]SUMMARY!BW6</f>
        <v>0</v>
      </c>
      <c r="AL29" s="26">
        <f>[1]SUMMARY!BX6</f>
        <v>1</v>
      </c>
      <c r="AM29" s="26">
        <f>[1]SUMMARY!BY6</f>
        <v>0</v>
      </c>
      <c r="AN29" s="26">
        <f>[1]SUMMARY!BZ6</f>
        <v>0</v>
      </c>
      <c r="AO29" s="26">
        <f>[1]SUMMARY!CA6</f>
        <v>0</v>
      </c>
      <c r="AP29" s="26">
        <f>[1]SUMMARY!CB6</f>
        <v>0</v>
      </c>
      <c r="AQ29" s="26">
        <f>[1]SUMMARY!CC6</f>
        <v>0</v>
      </c>
      <c r="AR29" s="26">
        <f>[1]SUMMARY!CD6</f>
        <v>0</v>
      </c>
      <c r="AS29" s="26">
        <f>[1]SUMMARY!CE6</f>
        <v>0</v>
      </c>
      <c r="AT29" s="27">
        <f>[1]SUMMARY!CF6</f>
        <v>0</v>
      </c>
      <c r="AU29" s="27">
        <f>[1]SUMMARY!CG6</f>
        <v>0</v>
      </c>
      <c r="AV29" s="38">
        <f>SUM(AJ29:AU29)</f>
        <v>1</v>
      </c>
      <c r="AW29" s="39"/>
      <c r="AY29" s="36" t="s">
        <v>21</v>
      </c>
      <c r="AZ29" s="37"/>
      <c r="BA29" s="26">
        <f>[1]SUMMARY!BV7</f>
        <v>0</v>
      </c>
      <c r="BB29" s="26">
        <f>[1]SUMMARY!BW7</f>
        <v>0</v>
      </c>
      <c r="BC29" s="26">
        <f>[1]SUMMARY!BX7</f>
        <v>1</v>
      </c>
      <c r="BD29" s="26">
        <f>[1]SUMMARY!BY7</f>
        <v>0</v>
      </c>
      <c r="BE29" s="26">
        <f>[1]SUMMARY!BZ7</f>
        <v>0</v>
      </c>
      <c r="BF29" s="26">
        <f>[1]SUMMARY!CA7</f>
        <v>0</v>
      </c>
      <c r="BG29" s="26">
        <f>[1]SUMMARY!CB7</f>
        <v>0</v>
      </c>
      <c r="BH29" s="26">
        <f>[1]SUMMARY!CC7</f>
        <v>0</v>
      </c>
      <c r="BI29" s="26">
        <f>[1]SUMMARY!CD7</f>
        <v>0</v>
      </c>
      <c r="BJ29" s="26">
        <f>[1]SUMMARY!CE7</f>
        <v>0</v>
      </c>
      <c r="BK29" s="27">
        <f>[1]SUMMARY!CF7</f>
        <v>0</v>
      </c>
      <c r="BL29" s="27">
        <f>[1]SUMMARY!CG7</f>
        <v>0</v>
      </c>
      <c r="BM29" s="38">
        <f>SUM(BA29:BL29)</f>
        <v>1</v>
      </c>
      <c r="BN29" s="39"/>
      <c r="BO29" s="36" t="s">
        <v>21</v>
      </c>
      <c r="BP29" s="37"/>
      <c r="BQ29" s="26">
        <f>[1]SUMMARY!BV8</f>
        <v>0</v>
      </c>
      <c r="BR29" s="26">
        <f>[1]SUMMARY!BW8</f>
        <v>0</v>
      </c>
      <c r="BS29" s="26">
        <f>[1]SUMMARY!BX8</f>
        <v>0</v>
      </c>
      <c r="BT29" s="26">
        <f>[1]SUMMARY!BY8</f>
        <v>0</v>
      </c>
      <c r="BU29" s="26">
        <f>[1]SUMMARY!BZ8</f>
        <v>0</v>
      </c>
      <c r="BV29" s="26">
        <f>[1]SUMMARY!CA8</f>
        <v>0</v>
      </c>
      <c r="BW29" s="26">
        <f>[1]SUMMARY!CB8</f>
        <v>0</v>
      </c>
      <c r="BX29" s="26">
        <f>[1]SUMMARY!CC8</f>
        <v>0</v>
      </c>
      <c r="BY29" s="26">
        <f>[1]SUMMARY!CD8</f>
        <v>0</v>
      </c>
      <c r="BZ29" s="26">
        <f>[1]SUMMARY!CE8</f>
        <v>0</v>
      </c>
      <c r="CA29" s="27">
        <f>[1]SUMMARY!CF8</f>
        <v>0</v>
      </c>
      <c r="CB29" s="27">
        <f>[1]SUMMARY!CG8</f>
        <v>0</v>
      </c>
      <c r="CC29" s="38">
        <f>SUM(BQ29:CB29)</f>
        <v>0</v>
      </c>
      <c r="CD29" s="39"/>
      <c r="CF29" s="36" t="s">
        <v>21</v>
      </c>
      <c r="CG29" s="37"/>
      <c r="CH29" s="26">
        <f>[1]SUMMARY!BV9</f>
        <v>0</v>
      </c>
      <c r="CI29" s="26">
        <f>[1]SUMMARY!BW9</f>
        <v>0</v>
      </c>
      <c r="CJ29" s="26">
        <f>[1]SUMMARY!BX9</f>
        <v>0</v>
      </c>
      <c r="CK29" s="26">
        <f>[1]SUMMARY!BY9</f>
        <v>0</v>
      </c>
      <c r="CL29" s="26">
        <f>[1]SUMMARY!BZ9</f>
        <v>0</v>
      </c>
      <c r="CM29" s="26">
        <f>[1]SUMMARY!CA9</f>
        <v>0</v>
      </c>
      <c r="CN29" s="26">
        <f>[1]SUMMARY!CB9</f>
        <v>0</v>
      </c>
      <c r="CO29" s="26">
        <f>[1]SUMMARY!CC9</f>
        <v>0</v>
      </c>
      <c r="CP29" s="26">
        <f>[1]SUMMARY!CD9</f>
        <v>0</v>
      </c>
      <c r="CQ29" s="26">
        <f>[1]SUMMARY!CE9</f>
        <v>0</v>
      </c>
      <c r="CR29" s="27">
        <f>[1]SUMMARY!CF9</f>
        <v>0</v>
      </c>
      <c r="CS29" s="27">
        <f>[1]SUMMARY!CG9</f>
        <v>0</v>
      </c>
      <c r="CT29" s="38">
        <f>SUM(CH29:CS29)</f>
        <v>0</v>
      </c>
      <c r="CU29" s="39"/>
      <c r="CV29" s="36" t="s">
        <v>21</v>
      </c>
      <c r="CW29" s="37"/>
      <c r="CX29" s="26">
        <f>[1]SUMMARY!BV10</f>
        <v>0</v>
      </c>
      <c r="CY29" s="26">
        <f>[1]SUMMARY!BW10</f>
        <v>0</v>
      </c>
      <c r="CZ29" s="26">
        <f>[1]SUMMARY!BX10</f>
        <v>0</v>
      </c>
      <c r="DA29" s="26">
        <f>[1]SUMMARY!BY10</f>
        <v>0</v>
      </c>
      <c r="DB29" s="26">
        <f>[1]SUMMARY!BZ10</f>
        <v>0</v>
      </c>
      <c r="DC29" s="26">
        <f>[1]SUMMARY!CA10</f>
        <v>0</v>
      </c>
      <c r="DD29" s="26">
        <f>[1]SUMMARY!CB10</f>
        <v>0</v>
      </c>
      <c r="DE29" s="26">
        <f>[1]SUMMARY!CC10</f>
        <v>0</v>
      </c>
      <c r="DF29" s="26">
        <f>[1]SUMMARY!CD10</f>
        <v>0</v>
      </c>
      <c r="DG29" s="26">
        <f>[1]SUMMARY!CE10</f>
        <v>0</v>
      </c>
      <c r="DH29" s="27">
        <f>[1]SUMMARY!CF10</f>
        <v>0</v>
      </c>
      <c r="DI29" s="27">
        <f>[1]SUMMARY!CG10</f>
        <v>0</v>
      </c>
      <c r="DJ29" s="38">
        <f>SUM(CX29:DI29)</f>
        <v>0</v>
      </c>
      <c r="DK29" s="39"/>
      <c r="DM29" s="36" t="s">
        <v>21</v>
      </c>
      <c r="DN29" s="37"/>
      <c r="DO29" s="26">
        <f>[1]SUMMARY!BV11</f>
        <v>0</v>
      </c>
      <c r="DP29" s="26">
        <f>[1]SUMMARY!BW11</f>
        <v>0</v>
      </c>
      <c r="DQ29" s="26">
        <f>[1]SUMMARY!BX11</f>
        <v>0</v>
      </c>
      <c r="DR29" s="26">
        <f>[1]SUMMARY!BY11</f>
        <v>0</v>
      </c>
      <c r="DS29" s="26">
        <f>[1]SUMMARY!BZ11</f>
        <v>0</v>
      </c>
      <c r="DT29" s="26">
        <f>[1]SUMMARY!CA11</f>
        <v>0</v>
      </c>
      <c r="DU29" s="26">
        <f>[1]SUMMARY!CB11</f>
        <v>0</v>
      </c>
      <c r="DV29" s="26">
        <f>[1]SUMMARY!CC11</f>
        <v>0</v>
      </c>
      <c r="DW29" s="26">
        <f>[1]SUMMARY!CD11</f>
        <v>0</v>
      </c>
      <c r="DX29" s="26">
        <f>[1]SUMMARY!CE11</f>
        <v>0</v>
      </c>
      <c r="DY29" s="27">
        <f>[1]SUMMARY!CF11</f>
        <v>0</v>
      </c>
      <c r="DZ29" s="27">
        <f>[1]SUMMARY!CG11</f>
        <v>0</v>
      </c>
      <c r="EA29" s="38">
        <f>SUM(DO29:DZ29)</f>
        <v>0</v>
      </c>
      <c r="EB29" s="39"/>
      <c r="EC29" s="36" t="s">
        <v>21</v>
      </c>
      <c r="ED29" s="37"/>
      <c r="EE29" s="26">
        <f>[1]SUMMARY!BV12</f>
        <v>0</v>
      </c>
      <c r="EF29" s="26">
        <f>[1]SUMMARY!BW12</f>
        <v>0</v>
      </c>
      <c r="EG29" s="26">
        <f>[1]SUMMARY!BX12</f>
        <v>1</v>
      </c>
      <c r="EH29" s="26">
        <f>[1]SUMMARY!BY12</f>
        <v>0</v>
      </c>
      <c r="EI29" s="26">
        <f>[1]SUMMARY!BZ12</f>
        <v>0</v>
      </c>
      <c r="EJ29" s="26">
        <f>[1]SUMMARY!CA12</f>
        <v>0</v>
      </c>
      <c r="EK29" s="26">
        <f>[1]SUMMARY!CB12</f>
        <v>0</v>
      </c>
      <c r="EL29" s="26">
        <f>[1]SUMMARY!CC12</f>
        <v>0</v>
      </c>
      <c r="EM29" s="26">
        <f>[1]SUMMARY!CD12</f>
        <v>0</v>
      </c>
      <c r="EN29" s="26">
        <f>[1]SUMMARY!CE12</f>
        <v>0</v>
      </c>
      <c r="EO29" s="27">
        <f>[1]SUMMARY!CF12</f>
        <v>0</v>
      </c>
      <c r="EP29" s="27">
        <f>[1]SUMMARY!CG12</f>
        <v>0</v>
      </c>
      <c r="EQ29" s="38">
        <f>SUM(EE29:EP29)</f>
        <v>1</v>
      </c>
      <c r="ER29" s="39"/>
      <c r="ET29" s="36" t="s">
        <v>21</v>
      </c>
      <c r="EU29" s="37"/>
      <c r="EV29" s="26">
        <f>[1]SUMMARY!BV13</f>
        <v>0</v>
      </c>
      <c r="EW29" s="26">
        <f>[1]SUMMARY!BW13</f>
        <v>0</v>
      </c>
      <c r="EX29" s="26">
        <f>[1]SUMMARY!BX13</f>
        <v>0</v>
      </c>
      <c r="EY29" s="26">
        <f>[1]SUMMARY!BY13</f>
        <v>0</v>
      </c>
      <c r="EZ29" s="26">
        <f>[1]SUMMARY!BZ13</f>
        <v>0</v>
      </c>
      <c r="FA29" s="26">
        <f>[1]SUMMARY!CA13</f>
        <v>0</v>
      </c>
      <c r="FB29" s="26">
        <f>[1]SUMMARY!CB13</f>
        <v>0</v>
      </c>
      <c r="FC29" s="26">
        <f>[1]SUMMARY!CC13</f>
        <v>0</v>
      </c>
      <c r="FD29" s="26">
        <f>[1]SUMMARY!CD13</f>
        <v>0</v>
      </c>
      <c r="FE29" s="26">
        <f>[1]SUMMARY!CE13</f>
        <v>0</v>
      </c>
      <c r="FF29" s="27">
        <f>[1]SUMMARY!CF13</f>
        <v>0</v>
      </c>
      <c r="FG29" s="27">
        <f>[1]SUMMARY!CG13</f>
        <v>0</v>
      </c>
      <c r="FH29" s="38">
        <f>SUM(EV29:FG29)</f>
        <v>0</v>
      </c>
      <c r="FI29" s="39"/>
      <c r="FJ29" s="36" t="s">
        <v>21</v>
      </c>
      <c r="FK29" s="37"/>
      <c r="FL29" s="26">
        <f>[1]SUMMARY!BV14</f>
        <v>0</v>
      </c>
      <c r="FM29" s="26">
        <f>[1]SUMMARY!BW14</f>
        <v>0</v>
      </c>
      <c r="FN29" s="26">
        <f>[1]SUMMARY!BX14</f>
        <v>1</v>
      </c>
      <c r="FO29" s="26">
        <f>[1]SUMMARY!BY14</f>
        <v>0</v>
      </c>
      <c r="FP29" s="26">
        <f>[1]SUMMARY!BZ14</f>
        <v>0</v>
      </c>
      <c r="FQ29" s="26">
        <f>[1]SUMMARY!CA14</f>
        <v>0</v>
      </c>
      <c r="FR29" s="26">
        <f>[1]SUMMARY!CB14</f>
        <v>0</v>
      </c>
      <c r="FS29" s="26">
        <f>[1]SUMMARY!CC14</f>
        <v>0</v>
      </c>
      <c r="FT29" s="26">
        <f>[1]SUMMARY!CD14</f>
        <v>0</v>
      </c>
      <c r="FU29" s="26">
        <f>[1]SUMMARY!CE14</f>
        <v>0</v>
      </c>
      <c r="FV29" s="27">
        <f>[1]SUMMARY!CF14</f>
        <v>0</v>
      </c>
      <c r="FW29" s="27">
        <f>[1]SUMMARY!CG14</f>
        <v>0</v>
      </c>
      <c r="FX29" s="38">
        <f>SUM(FL29:FW29)</f>
        <v>1</v>
      </c>
      <c r="FY29" s="39"/>
      <c r="GA29" s="36" t="s">
        <v>21</v>
      </c>
      <c r="GB29" s="37"/>
      <c r="GC29" s="26">
        <f>[1]SUMMARY!BV15</f>
        <v>0</v>
      </c>
      <c r="GD29" s="26">
        <f>[1]SUMMARY!BW15</f>
        <v>0</v>
      </c>
      <c r="GE29" s="26">
        <f>[1]SUMMARY!BX15</f>
        <v>0</v>
      </c>
      <c r="GF29" s="26">
        <f>[1]SUMMARY!BY15</f>
        <v>0</v>
      </c>
      <c r="GG29" s="26">
        <f>[1]SUMMARY!BZ15</f>
        <v>0</v>
      </c>
      <c r="GH29" s="26">
        <f>[1]SUMMARY!CA15</f>
        <v>0</v>
      </c>
      <c r="GI29" s="26">
        <f>[1]SUMMARY!CB15</f>
        <v>0</v>
      </c>
      <c r="GJ29" s="26">
        <f>[1]SUMMARY!CC15</f>
        <v>0</v>
      </c>
      <c r="GK29" s="26">
        <f>[1]SUMMARY!CD15</f>
        <v>0</v>
      </c>
      <c r="GL29" s="26">
        <f>[1]SUMMARY!CE15</f>
        <v>0</v>
      </c>
      <c r="GM29" s="27">
        <f>[1]SUMMARY!CF15</f>
        <v>0</v>
      </c>
      <c r="GN29" s="27">
        <f>[1]SUMMARY!CG15</f>
        <v>0</v>
      </c>
      <c r="GO29" s="38">
        <f>SUM(GC29:GN29)</f>
        <v>0</v>
      </c>
      <c r="GP29" s="39"/>
      <c r="GQ29" s="36" t="s">
        <v>21</v>
      </c>
      <c r="GR29" s="37"/>
      <c r="GS29" s="26">
        <f>[1]SUMMARY!BV16</f>
        <v>0</v>
      </c>
      <c r="GT29" s="26">
        <f>[1]SUMMARY!BW16</f>
        <v>0</v>
      </c>
      <c r="GU29" s="26">
        <f>[1]SUMMARY!BX16</f>
        <v>0</v>
      </c>
      <c r="GV29" s="26">
        <f>[1]SUMMARY!BY16</f>
        <v>0</v>
      </c>
      <c r="GW29" s="26">
        <f>[1]SUMMARY!BZ16</f>
        <v>0</v>
      </c>
      <c r="GX29" s="26">
        <f>[1]SUMMARY!CA16</f>
        <v>0</v>
      </c>
      <c r="GY29" s="26">
        <f>[1]SUMMARY!CB16</f>
        <v>0</v>
      </c>
      <c r="GZ29" s="26">
        <f>[1]SUMMARY!CC16</f>
        <v>0</v>
      </c>
      <c r="HA29" s="26">
        <f>[1]SUMMARY!CD16</f>
        <v>0</v>
      </c>
      <c r="HB29" s="26">
        <f>[1]SUMMARY!CE16</f>
        <v>0</v>
      </c>
      <c r="HC29" s="27">
        <f>[1]SUMMARY!CF16</f>
        <v>0</v>
      </c>
      <c r="HD29" s="27">
        <f>[1]SUMMARY!CG16</f>
        <v>0</v>
      </c>
      <c r="HE29" s="38">
        <f>SUM(GS29:HD29)</f>
        <v>0</v>
      </c>
      <c r="HF29" s="39"/>
      <c r="HH29" s="36" t="s">
        <v>21</v>
      </c>
      <c r="HI29" s="37"/>
      <c r="HJ29" s="26">
        <f>[1]SUMMARY!BV17</f>
        <v>0</v>
      </c>
      <c r="HK29" s="26">
        <f>[1]SUMMARY!BW17</f>
        <v>0</v>
      </c>
      <c r="HL29" s="26">
        <f>[1]SUMMARY!BX17</f>
        <v>0</v>
      </c>
      <c r="HM29" s="26">
        <f>[1]SUMMARY!BY17</f>
        <v>0</v>
      </c>
      <c r="HN29" s="26">
        <f>[1]SUMMARY!BZ17</f>
        <v>0</v>
      </c>
      <c r="HO29" s="26">
        <f>[1]SUMMARY!CA17</f>
        <v>0</v>
      </c>
      <c r="HP29" s="26">
        <f>[1]SUMMARY!CB17</f>
        <v>0</v>
      </c>
      <c r="HQ29" s="26">
        <f>[1]SUMMARY!CC17</f>
        <v>0</v>
      </c>
      <c r="HR29" s="26">
        <f>[1]SUMMARY!CD17</f>
        <v>0</v>
      </c>
      <c r="HS29" s="26">
        <f>[1]SUMMARY!CE17</f>
        <v>0</v>
      </c>
      <c r="HT29" s="27">
        <f>[1]SUMMARY!CF17</f>
        <v>0</v>
      </c>
      <c r="HU29" s="27">
        <f>[1]SUMMARY!CG17</f>
        <v>0</v>
      </c>
      <c r="HV29" s="38">
        <f>SUM(HJ29:HU29)</f>
        <v>0</v>
      </c>
      <c r="HW29" s="39"/>
      <c r="HX29" s="36" t="s">
        <v>21</v>
      </c>
      <c r="HY29" s="37"/>
      <c r="HZ29" s="26">
        <f>[1]SUMMARY!BI18</f>
        <v>4</v>
      </c>
      <c r="IA29" s="26">
        <f>[1]SUMMARY!BJ18</f>
        <v>19</v>
      </c>
      <c r="IB29" s="26">
        <f>[1]SUMMARY!BK18</f>
        <v>21</v>
      </c>
      <c r="IC29" s="26">
        <f>[1]SUMMARY!BL18</f>
        <v>0</v>
      </c>
      <c r="ID29" s="26">
        <f>[1]SUMMARY!BM18</f>
        <v>0</v>
      </c>
      <c r="IE29" s="26">
        <f>[1]SUMMARY!BN18</f>
        <v>0</v>
      </c>
      <c r="IF29" s="26">
        <f>[1]SUMMARY!BO18</f>
        <v>0</v>
      </c>
      <c r="IG29" s="26">
        <f>[1]SUMMARY!BP18</f>
        <v>0</v>
      </c>
      <c r="IH29" s="26">
        <f>[1]SUMMARY!BQ18</f>
        <v>0</v>
      </c>
      <c r="II29" s="26">
        <f>[1]SUMMARY!BR18</f>
        <v>0</v>
      </c>
      <c r="IJ29" s="27">
        <f>[1]SUMMARY!BS18</f>
        <v>0</v>
      </c>
      <c r="IK29" s="27">
        <f>[1]SUMMARY!BT18</f>
        <v>0</v>
      </c>
      <c r="IL29" s="38">
        <f>SUM(HZ29:IK29)</f>
        <v>44</v>
      </c>
      <c r="IM29" s="39"/>
      <c r="IO29" s="36" t="s">
        <v>21</v>
      </c>
      <c r="IP29" s="37"/>
      <c r="IQ29" s="26">
        <f>[1]SUMMARY!BV19</f>
        <v>0</v>
      </c>
      <c r="IR29" s="26">
        <f>[1]SUMMARY!BW19</f>
        <v>0</v>
      </c>
      <c r="IS29" s="26">
        <f>[1]SUMMARY!BX19</f>
        <v>0</v>
      </c>
      <c r="IT29" s="26">
        <f>[1]SUMMARY!BY19</f>
        <v>0</v>
      </c>
      <c r="IU29" s="26">
        <f>[1]SUMMARY!BZ19</f>
        <v>0</v>
      </c>
      <c r="IV29" s="26">
        <f>[1]SUMMARY!CA19</f>
        <v>0</v>
      </c>
      <c r="IW29" s="26">
        <f>[1]SUMMARY!CB19</f>
        <v>0</v>
      </c>
      <c r="IX29" s="26">
        <f>[1]SUMMARY!CC19</f>
        <v>0</v>
      </c>
      <c r="IY29" s="26">
        <f>[1]SUMMARY!CD19</f>
        <v>0</v>
      </c>
      <c r="IZ29" s="26">
        <f>[1]SUMMARY!CE19</f>
        <v>0</v>
      </c>
      <c r="JA29" s="27">
        <f>[1]SUMMARY!CF19</f>
        <v>0</v>
      </c>
      <c r="JB29" s="27">
        <f>[1]SUMMARY!CG19</f>
        <v>0</v>
      </c>
      <c r="JC29" s="38">
        <f>SUM(IQ29:JB29)</f>
        <v>0</v>
      </c>
      <c r="JD29" s="39"/>
      <c r="JE29" s="36" t="s">
        <v>21</v>
      </c>
      <c r="JF29" s="37"/>
      <c r="JG29" s="26">
        <f>[1]SUMMARY!BV20</f>
        <v>0</v>
      </c>
      <c r="JH29" s="26">
        <f>[1]SUMMARY!BW20</f>
        <v>0</v>
      </c>
      <c r="JI29" s="26">
        <f>[1]SUMMARY!BX20</f>
        <v>0</v>
      </c>
      <c r="JJ29" s="26">
        <f>[1]SUMMARY!BY20</f>
        <v>0</v>
      </c>
      <c r="JK29" s="26">
        <f>[1]SUMMARY!BZ20</f>
        <v>0</v>
      </c>
      <c r="JL29" s="26">
        <f>[1]SUMMARY!CA20</f>
        <v>0</v>
      </c>
      <c r="JM29" s="26">
        <f>[1]SUMMARY!CB20</f>
        <v>0</v>
      </c>
      <c r="JN29" s="26">
        <f>[1]SUMMARY!CC20</f>
        <v>0</v>
      </c>
      <c r="JO29" s="26">
        <f>[1]SUMMARY!CD20</f>
        <v>0</v>
      </c>
      <c r="JP29" s="26">
        <f>[1]SUMMARY!CE20</f>
        <v>0</v>
      </c>
      <c r="JQ29" s="27">
        <f>[1]SUMMARY!CF20</f>
        <v>0</v>
      </c>
      <c r="JR29" s="27">
        <f>[1]SUMMARY!CG20</f>
        <v>0</v>
      </c>
      <c r="JS29" s="38">
        <f>SUM(JG29:JR29)</f>
        <v>0</v>
      </c>
      <c r="JT29" s="39"/>
      <c r="JV29" s="36" t="s">
        <v>21</v>
      </c>
      <c r="JW29" s="37"/>
      <c r="JX29" s="26">
        <f>[1]SUMMARY!BV21</f>
        <v>0</v>
      </c>
      <c r="JY29" s="26">
        <f>[1]SUMMARY!BW21</f>
        <v>0</v>
      </c>
      <c r="JZ29" s="26">
        <f>[1]SUMMARY!BX21</f>
        <v>0</v>
      </c>
      <c r="KA29" s="26">
        <f>[1]SUMMARY!BY21</f>
        <v>0</v>
      </c>
      <c r="KB29" s="26">
        <f>[1]SUMMARY!BZ21</f>
        <v>0</v>
      </c>
      <c r="KC29" s="26">
        <f>[1]SUMMARY!CA21</f>
        <v>0</v>
      </c>
      <c r="KD29" s="26">
        <f>[1]SUMMARY!CB21</f>
        <v>0</v>
      </c>
      <c r="KE29" s="26">
        <f>[1]SUMMARY!CC21</f>
        <v>0</v>
      </c>
      <c r="KF29" s="26">
        <f>[1]SUMMARY!CD21</f>
        <v>0</v>
      </c>
      <c r="KG29" s="26">
        <f>[1]SUMMARY!CE21</f>
        <v>0</v>
      </c>
      <c r="KH29" s="27">
        <f>[1]SUMMARY!CF21</f>
        <v>0</v>
      </c>
      <c r="KI29" s="27">
        <f>[1]SUMMARY!CG21</f>
        <v>0</v>
      </c>
      <c r="KJ29" s="38">
        <f>SUM(JX29:KI29)</f>
        <v>0</v>
      </c>
      <c r="KK29" s="39"/>
      <c r="KL29" s="36" t="s">
        <v>21</v>
      </c>
      <c r="KM29" s="37"/>
      <c r="KN29" s="26">
        <f>[1]SUMMARY!BV22</f>
        <v>0</v>
      </c>
      <c r="KO29" s="26">
        <f>[1]SUMMARY!BW22</f>
        <v>0</v>
      </c>
      <c r="KP29" s="26">
        <f>[1]SUMMARY!BX22</f>
        <v>0</v>
      </c>
      <c r="KQ29" s="26">
        <f>[1]SUMMARY!BY22</f>
        <v>0</v>
      </c>
      <c r="KR29" s="26">
        <f>[1]SUMMARY!BZ22</f>
        <v>0</v>
      </c>
      <c r="KS29" s="26">
        <f>[1]SUMMARY!CA22</f>
        <v>0</v>
      </c>
      <c r="KT29" s="26">
        <f>[1]SUMMARY!CB22</f>
        <v>0</v>
      </c>
      <c r="KU29" s="26">
        <f>[1]SUMMARY!CC22</f>
        <v>0</v>
      </c>
      <c r="KV29" s="26">
        <f>[1]SUMMARY!CD22</f>
        <v>0</v>
      </c>
      <c r="KW29" s="26">
        <f>[1]SUMMARY!CE22</f>
        <v>0</v>
      </c>
      <c r="KX29" s="27">
        <f>[1]SUMMARY!CF22</f>
        <v>0</v>
      </c>
      <c r="KY29" s="27">
        <f>[1]SUMMARY!CG22</f>
        <v>0</v>
      </c>
      <c r="KZ29" s="38">
        <f>SUM(KN29:KY29)</f>
        <v>0</v>
      </c>
      <c r="LA29" s="39"/>
      <c r="LC29" s="36" t="s">
        <v>21</v>
      </c>
      <c r="LD29" s="37"/>
      <c r="LE29" s="26">
        <f>[1]SUMMARY!BV23</f>
        <v>0</v>
      </c>
      <c r="LF29" s="26">
        <f>[1]SUMMARY!BW23</f>
        <v>0</v>
      </c>
      <c r="LG29" s="26">
        <f>[1]SUMMARY!BX23</f>
        <v>0</v>
      </c>
      <c r="LH29" s="26">
        <f>[1]SUMMARY!BY23</f>
        <v>0</v>
      </c>
      <c r="LI29" s="26">
        <f>[1]SUMMARY!BZ23</f>
        <v>0</v>
      </c>
      <c r="LJ29" s="26">
        <f>[1]SUMMARY!CA23</f>
        <v>0</v>
      </c>
      <c r="LK29" s="26">
        <f>[1]SUMMARY!CB23</f>
        <v>0</v>
      </c>
      <c r="LL29" s="26">
        <f>[1]SUMMARY!CC23</f>
        <v>0</v>
      </c>
      <c r="LM29" s="26">
        <f>[1]SUMMARY!CD23</f>
        <v>0</v>
      </c>
      <c r="LN29" s="26">
        <f>[1]SUMMARY!CE23</f>
        <v>0</v>
      </c>
      <c r="LO29" s="27">
        <f>[1]SUMMARY!CF23</f>
        <v>0</v>
      </c>
      <c r="LP29" s="27">
        <f>[1]SUMMARY!CG23</f>
        <v>0</v>
      </c>
      <c r="LQ29" s="38">
        <f>SUM(LE29:LP29)</f>
        <v>0</v>
      </c>
      <c r="LR29" s="39"/>
    </row>
    <row r="30" spans="1:330" x14ac:dyDescent="0.3">
      <c r="A30" s="31" t="s">
        <v>22</v>
      </c>
      <c r="D30" s="31"/>
      <c r="E30" s="31"/>
      <c r="F30" s="31"/>
      <c r="G30" s="31"/>
      <c r="H30" s="40">
        <f>[1]SUMMARY!$CI$4</f>
        <v>0</v>
      </c>
      <c r="I30" s="40"/>
      <c r="J30" s="40"/>
      <c r="K30" s="40"/>
      <c r="L30" s="40"/>
      <c r="M30" s="40"/>
      <c r="N30" s="40"/>
      <c r="O30" s="40"/>
      <c r="P30" s="31"/>
      <c r="R30" s="31" t="s">
        <v>22</v>
      </c>
      <c r="U30" s="31"/>
      <c r="V30" s="31"/>
      <c r="W30" s="31"/>
      <c r="X30" s="31"/>
      <c r="Y30" s="40">
        <f>[1]SUMMARY!$CI$5</f>
        <v>0</v>
      </c>
      <c r="Z30" s="40"/>
      <c r="AA30" s="40"/>
      <c r="AB30" s="40"/>
      <c r="AC30" s="40"/>
      <c r="AD30" s="40"/>
      <c r="AE30" s="40"/>
      <c r="AF30" s="40"/>
      <c r="AG30" s="31"/>
      <c r="AH30" s="31" t="s">
        <v>22</v>
      </c>
      <c r="AK30" s="31"/>
      <c r="AL30" s="31"/>
      <c r="AM30" s="31"/>
      <c r="AN30" s="31"/>
      <c r="AO30" s="40">
        <f>[1]SUMMARY!$CI$6</f>
        <v>0</v>
      </c>
      <c r="AP30" s="40"/>
      <c r="AQ30" s="40"/>
      <c r="AR30" s="40"/>
      <c r="AS30" s="40"/>
      <c r="AT30" s="40"/>
      <c r="AU30" s="40"/>
      <c r="AV30" s="40"/>
      <c r="AW30" s="31"/>
      <c r="AY30" s="31" t="s">
        <v>22</v>
      </c>
      <c r="BB30" s="31"/>
      <c r="BC30" s="31"/>
      <c r="BD30" s="31"/>
      <c r="BE30" s="31"/>
      <c r="BF30" s="40">
        <f>[1]SUMMARY!$CI$7</f>
        <v>0</v>
      </c>
      <c r="BG30" s="40"/>
      <c r="BH30" s="40"/>
      <c r="BI30" s="40"/>
      <c r="BJ30" s="40"/>
      <c r="BK30" s="40"/>
      <c r="BL30" s="40"/>
      <c r="BM30" s="40"/>
      <c r="BN30" s="31"/>
      <c r="BO30" s="31" t="s">
        <v>22</v>
      </c>
      <c r="BR30" s="31"/>
      <c r="BS30" s="31"/>
      <c r="BT30" s="31"/>
      <c r="BU30" s="31"/>
      <c r="BV30" s="40">
        <f>[1]SUMMARY!$CI$8</f>
        <v>0</v>
      </c>
      <c r="BW30" s="40"/>
      <c r="BX30" s="40"/>
      <c r="BY30" s="40"/>
      <c r="BZ30" s="40"/>
      <c r="CA30" s="40"/>
      <c r="CB30" s="40"/>
      <c r="CC30" s="40"/>
      <c r="CD30" s="31"/>
      <c r="CF30" s="31" t="s">
        <v>22</v>
      </c>
      <c r="CI30" s="31"/>
      <c r="CJ30" s="31"/>
      <c r="CK30" s="31"/>
      <c r="CL30" s="31"/>
      <c r="CM30" s="40">
        <f>[1]SUMMARY!$CI$9</f>
        <v>0</v>
      </c>
      <c r="CN30" s="40"/>
      <c r="CO30" s="40"/>
      <c r="CP30" s="40"/>
      <c r="CQ30" s="40"/>
      <c r="CR30" s="40"/>
      <c r="CS30" s="40"/>
      <c r="CT30" s="40"/>
      <c r="CU30" s="31"/>
      <c r="CV30" s="31" t="s">
        <v>22</v>
      </c>
      <c r="CY30" s="31"/>
      <c r="CZ30" s="31"/>
      <c r="DA30" s="31"/>
      <c r="DB30" s="31"/>
      <c r="DC30" s="40">
        <f>[1]SUMMARY!$CI$10</f>
        <v>0</v>
      </c>
      <c r="DD30" s="40"/>
      <c r="DE30" s="40"/>
      <c r="DF30" s="40"/>
      <c r="DG30" s="40"/>
      <c r="DH30" s="40"/>
      <c r="DI30" s="40"/>
      <c r="DJ30" s="40"/>
      <c r="DK30" s="31"/>
      <c r="DM30" s="31" t="s">
        <v>22</v>
      </c>
      <c r="DP30" s="31"/>
      <c r="DQ30" s="31"/>
      <c r="DR30" s="31"/>
      <c r="DS30" s="31"/>
      <c r="DT30" s="40">
        <f>[1]SUMMARY!$CI$11</f>
        <v>0</v>
      </c>
      <c r="DU30" s="40"/>
      <c r="DV30" s="40"/>
      <c r="DW30" s="40"/>
      <c r="DX30" s="40"/>
      <c r="DY30" s="40"/>
      <c r="DZ30" s="40"/>
      <c r="EA30" s="40"/>
      <c r="EB30" s="31"/>
      <c r="EC30" s="31" t="s">
        <v>22</v>
      </c>
      <c r="EF30" s="31"/>
      <c r="EG30" s="31"/>
      <c r="EH30" s="31"/>
      <c r="EI30" s="31"/>
      <c r="EJ30" s="40">
        <f>[1]SUMMARY!$CI$12</f>
        <v>0</v>
      </c>
      <c r="EK30" s="40"/>
      <c r="EL30" s="40"/>
      <c r="EM30" s="40"/>
      <c r="EN30" s="40"/>
      <c r="EO30" s="40"/>
      <c r="EP30" s="40"/>
      <c r="EQ30" s="40"/>
      <c r="ER30" s="31"/>
      <c r="ET30" s="31" t="s">
        <v>22</v>
      </c>
      <c r="EW30" s="31"/>
      <c r="EX30" s="31"/>
      <c r="EY30" s="31"/>
      <c r="EZ30" s="31"/>
      <c r="FA30" s="40">
        <f>[1]SUMMARY!$CI$13</f>
        <v>0</v>
      </c>
      <c r="FB30" s="40"/>
      <c r="FC30" s="40"/>
      <c r="FD30" s="40"/>
      <c r="FE30" s="40"/>
      <c r="FF30" s="40"/>
      <c r="FG30" s="40"/>
      <c r="FH30" s="40"/>
      <c r="FI30" s="31"/>
      <c r="FJ30" s="31" t="s">
        <v>22</v>
      </c>
      <c r="FM30" s="31"/>
      <c r="FN30" s="31"/>
      <c r="FO30" s="31"/>
      <c r="FP30" s="31"/>
      <c r="FQ30" s="40">
        <f>[1]SUMMARY!$CI$14</f>
        <v>0</v>
      </c>
      <c r="FR30" s="40"/>
      <c r="FS30" s="40"/>
      <c r="FT30" s="40"/>
      <c r="FU30" s="40"/>
      <c r="FV30" s="40"/>
      <c r="FW30" s="40"/>
      <c r="FX30" s="40"/>
      <c r="FY30" s="31"/>
      <c r="GA30" s="31" t="s">
        <v>22</v>
      </c>
      <c r="GD30" s="31"/>
      <c r="GE30" s="31"/>
      <c r="GF30" s="31"/>
      <c r="GG30" s="31"/>
      <c r="GH30" s="40">
        <f>[1]SUMMARY!$CI$15</f>
        <v>0</v>
      </c>
      <c r="GI30" s="40"/>
      <c r="GJ30" s="40"/>
      <c r="GK30" s="40"/>
      <c r="GL30" s="40"/>
      <c r="GM30" s="40"/>
      <c r="GN30" s="40"/>
      <c r="GO30" s="40"/>
      <c r="GP30" s="31"/>
      <c r="GQ30" s="31" t="s">
        <v>22</v>
      </c>
      <c r="GT30" s="31"/>
      <c r="GU30" s="31"/>
      <c r="GV30" s="31"/>
      <c r="GW30" s="31"/>
      <c r="GX30" s="40">
        <f>[1]SUMMARY!$CI$16</f>
        <v>0</v>
      </c>
      <c r="GY30" s="40"/>
      <c r="GZ30" s="40"/>
      <c r="HA30" s="40"/>
      <c r="HB30" s="40"/>
      <c r="HC30" s="40"/>
      <c r="HD30" s="40"/>
      <c r="HE30" s="40"/>
      <c r="HF30" s="31"/>
      <c r="HH30" s="31" t="s">
        <v>22</v>
      </c>
      <c r="HK30" s="31"/>
      <c r="HL30" s="31"/>
      <c r="HM30" s="31"/>
      <c r="HN30" s="31"/>
      <c r="HO30" s="40">
        <f>[1]SUMMARY!$CI$17</f>
        <v>0</v>
      </c>
      <c r="HP30" s="40"/>
      <c r="HQ30" s="40"/>
      <c r="HR30" s="40"/>
      <c r="HS30" s="40"/>
      <c r="HT30" s="40"/>
      <c r="HU30" s="40"/>
      <c r="HV30" s="40"/>
      <c r="HW30" s="31"/>
      <c r="HX30" s="31" t="s">
        <v>22</v>
      </c>
      <c r="IA30" s="31"/>
      <c r="IB30" s="31"/>
      <c r="IC30" s="31"/>
      <c r="ID30" s="31"/>
      <c r="IE30" s="40">
        <f>[1]SUMMARY!$CI$18</f>
        <v>0</v>
      </c>
      <c r="IF30" s="40"/>
      <c r="IG30" s="40"/>
      <c r="IH30" s="40"/>
      <c r="II30" s="40"/>
      <c r="IJ30" s="40"/>
      <c r="IK30" s="40"/>
      <c r="IL30" s="40"/>
      <c r="IM30" s="31"/>
      <c r="IO30" s="31" t="s">
        <v>22</v>
      </c>
      <c r="IR30" s="31"/>
      <c r="IS30" s="31"/>
      <c r="IT30" s="31"/>
      <c r="IU30" s="31"/>
      <c r="IV30" s="40">
        <f>[1]SUMMARY!$CI$19</f>
        <v>0</v>
      </c>
      <c r="IW30" s="40"/>
      <c r="IX30" s="40"/>
      <c r="IY30" s="40"/>
      <c r="IZ30" s="40"/>
      <c r="JA30" s="40"/>
      <c r="JB30" s="40"/>
      <c r="JC30" s="40"/>
      <c r="JD30" s="31"/>
      <c r="JE30" s="31" t="s">
        <v>22</v>
      </c>
      <c r="JH30" s="31"/>
      <c r="JI30" s="31"/>
      <c r="JJ30" s="31"/>
      <c r="JK30" s="31"/>
      <c r="JL30" s="40">
        <f>[1]SUMMARY!$CI$20</f>
        <v>0</v>
      </c>
      <c r="JM30" s="40"/>
      <c r="JN30" s="40"/>
      <c r="JO30" s="40"/>
      <c r="JP30" s="40"/>
      <c r="JQ30" s="40"/>
      <c r="JR30" s="40"/>
      <c r="JS30" s="40"/>
      <c r="JT30" s="31"/>
      <c r="JV30" s="31" t="s">
        <v>22</v>
      </c>
      <c r="JY30" s="31"/>
      <c r="JZ30" s="31"/>
      <c r="KA30" s="31"/>
      <c r="KB30" s="31"/>
      <c r="KC30" s="40">
        <f>[1]SUMMARY!$CI$21</f>
        <v>0</v>
      </c>
      <c r="KD30" s="40"/>
      <c r="KE30" s="40"/>
      <c r="KF30" s="40"/>
      <c r="KG30" s="40"/>
      <c r="KH30" s="40"/>
      <c r="KI30" s="40"/>
      <c r="KJ30" s="40"/>
      <c r="KK30" s="31"/>
      <c r="KL30" s="31" t="s">
        <v>22</v>
      </c>
      <c r="KO30" s="31"/>
      <c r="KP30" s="31"/>
      <c r="KQ30" s="31"/>
      <c r="KR30" s="31"/>
      <c r="KS30" s="40">
        <f>[1]SUMMARY!$CI$22</f>
        <v>0</v>
      </c>
      <c r="KT30" s="40"/>
      <c r="KU30" s="40"/>
      <c r="KV30" s="40"/>
      <c r="KW30" s="40"/>
      <c r="KX30" s="40"/>
      <c r="KY30" s="40"/>
      <c r="KZ30" s="40"/>
      <c r="LA30" s="31"/>
      <c r="LC30" s="31" t="s">
        <v>22</v>
      </c>
      <c r="LF30" s="31"/>
      <c r="LG30" s="31"/>
      <c r="LH30" s="31"/>
      <c r="LI30" s="31"/>
      <c r="LJ30" s="40">
        <f>[1]SUMMARY!$CI$23</f>
        <v>0</v>
      </c>
      <c r="LK30" s="40"/>
      <c r="LL30" s="40"/>
      <c r="LM30" s="40"/>
      <c r="LN30" s="40"/>
      <c r="LO30" s="40"/>
      <c r="LP30" s="40"/>
      <c r="LQ30" s="40"/>
      <c r="LR30" s="31"/>
    </row>
    <row r="31" spans="1:330" x14ac:dyDescent="0.3">
      <c r="A31" s="31" t="s">
        <v>23</v>
      </c>
      <c r="B31" s="31"/>
      <c r="C31" s="31"/>
      <c r="D31" s="31"/>
      <c r="E31" s="52">
        <f>[1]SUMMARY!$CJ$4</f>
        <v>0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R31" s="31" t="s">
        <v>23</v>
      </c>
      <c r="S31" s="31"/>
      <c r="T31" s="31"/>
      <c r="U31" s="31"/>
      <c r="V31" s="52">
        <f>[1]SUMMARY!$CJ$5</f>
        <v>0</v>
      </c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H31" s="31" t="s">
        <v>23</v>
      </c>
      <c r="AI31" s="31"/>
      <c r="AJ31" s="31"/>
      <c r="AK31" s="31"/>
      <c r="AL31" s="52">
        <f>[1]SUMMARY!$CJ$6</f>
        <v>0</v>
      </c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Y31" s="31" t="s">
        <v>23</v>
      </c>
      <c r="AZ31" s="31"/>
      <c r="BA31" s="31"/>
      <c r="BB31" s="31"/>
      <c r="BC31" s="52">
        <f>[1]SUMMARY!$CJ$7</f>
        <v>0</v>
      </c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O31" s="31" t="s">
        <v>23</v>
      </c>
      <c r="BP31" s="31"/>
      <c r="BQ31" s="31"/>
      <c r="BR31" s="31"/>
      <c r="BS31" s="52">
        <f>[1]SUMMARY!$CJ$8</f>
        <v>0</v>
      </c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F31" s="31" t="s">
        <v>23</v>
      </c>
      <c r="CG31" s="31"/>
      <c r="CH31" s="31"/>
      <c r="CI31" s="31"/>
      <c r="CJ31" s="52">
        <f>[1]SUMMARY!$CJ$9</f>
        <v>0</v>
      </c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V31" s="31" t="s">
        <v>23</v>
      </c>
      <c r="CW31" s="31"/>
      <c r="CX31" s="31"/>
      <c r="CY31" s="31"/>
      <c r="CZ31" s="52">
        <f>[1]SUMMARY!$CJ$10</f>
        <v>0</v>
      </c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M31" s="31" t="s">
        <v>23</v>
      </c>
      <c r="DN31" s="31"/>
      <c r="DO31" s="31"/>
      <c r="DP31" s="31"/>
      <c r="DQ31" s="52">
        <f>[1]SUMMARY!$CJ$11</f>
        <v>0</v>
      </c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C31" s="31" t="s">
        <v>23</v>
      </c>
      <c r="ED31" s="31"/>
      <c r="EE31" s="31"/>
      <c r="EF31" s="31"/>
      <c r="EG31" s="52">
        <f>[1]SUMMARY!$CJ$12</f>
        <v>0</v>
      </c>
      <c r="EH31" s="52"/>
      <c r="EI31" s="52"/>
      <c r="EJ31" s="52"/>
      <c r="EK31" s="52"/>
      <c r="EL31" s="52"/>
      <c r="EM31" s="52"/>
      <c r="EN31" s="52"/>
      <c r="EO31" s="52"/>
      <c r="EP31" s="52"/>
      <c r="EQ31" s="52"/>
      <c r="ET31" s="31" t="s">
        <v>23</v>
      </c>
      <c r="EU31" s="31"/>
      <c r="EV31" s="31"/>
      <c r="EW31" s="31"/>
      <c r="EX31" s="52">
        <f>[1]SUMMARY!$CJ$13</f>
        <v>0</v>
      </c>
      <c r="EY31" s="52"/>
      <c r="EZ31" s="52"/>
      <c r="FA31" s="52"/>
      <c r="FB31" s="52"/>
      <c r="FC31" s="52"/>
      <c r="FD31" s="52"/>
      <c r="FE31" s="52"/>
      <c r="FF31" s="52"/>
      <c r="FG31" s="52"/>
      <c r="FH31" s="52"/>
      <c r="FJ31" s="31" t="s">
        <v>23</v>
      </c>
      <c r="FK31" s="31"/>
      <c r="FL31" s="31"/>
      <c r="FM31" s="31"/>
      <c r="FN31" s="52">
        <f>[1]SUMMARY!$CJ$14</f>
        <v>0</v>
      </c>
      <c r="FO31" s="52"/>
      <c r="FP31" s="52"/>
      <c r="FQ31" s="52"/>
      <c r="FR31" s="52"/>
      <c r="FS31" s="52"/>
      <c r="FT31" s="52"/>
      <c r="FU31" s="52"/>
      <c r="FV31" s="52"/>
      <c r="FW31" s="52"/>
      <c r="FX31" s="52"/>
      <c r="GA31" s="31" t="s">
        <v>23</v>
      </c>
      <c r="GB31" s="31"/>
      <c r="GC31" s="31"/>
      <c r="GD31" s="31"/>
      <c r="GE31" s="52">
        <f>[1]SUMMARY!$CJ$15</f>
        <v>0</v>
      </c>
      <c r="GF31" s="52"/>
      <c r="GG31" s="52"/>
      <c r="GH31" s="52"/>
      <c r="GI31" s="52"/>
      <c r="GJ31" s="52"/>
      <c r="GK31" s="52"/>
      <c r="GL31" s="52"/>
      <c r="GM31" s="52"/>
      <c r="GN31" s="52"/>
      <c r="GO31" s="52"/>
      <c r="GQ31" s="31" t="s">
        <v>23</v>
      </c>
      <c r="GR31" s="31"/>
      <c r="GS31" s="31"/>
      <c r="GT31" s="31"/>
      <c r="GU31" s="52">
        <f>[1]SUMMARY!$CJ$16</f>
        <v>0</v>
      </c>
      <c r="GV31" s="52"/>
      <c r="GW31" s="52"/>
      <c r="GX31" s="52"/>
      <c r="GY31" s="52"/>
      <c r="GZ31" s="52"/>
      <c r="HA31" s="52"/>
      <c r="HB31" s="52"/>
      <c r="HC31" s="52"/>
      <c r="HD31" s="52"/>
      <c r="HE31" s="52"/>
      <c r="HH31" s="31" t="s">
        <v>23</v>
      </c>
      <c r="HI31" s="31"/>
      <c r="HJ31" s="31"/>
      <c r="HK31" s="31"/>
      <c r="HL31" s="52">
        <f>[1]SUMMARY!$CJ$17</f>
        <v>0</v>
      </c>
      <c r="HM31" s="52"/>
      <c r="HN31" s="52"/>
      <c r="HO31" s="52"/>
      <c r="HP31" s="52"/>
      <c r="HQ31" s="52"/>
      <c r="HR31" s="52"/>
      <c r="HS31" s="52"/>
      <c r="HT31" s="52"/>
      <c r="HU31" s="52"/>
      <c r="HV31" s="52"/>
      <c r="HX31" s="31" t="s">
        <v>23</v>
      </c>
      <c r="HY31" s="31"/>
      <c r="HZ31" s="31"/>
      <c r="IA31" s="31"/>
      <c r="IB31" s="52">
        <f>[1]SUMMARY!$CJ$18</f>
        <v>0</v>
      </c>
      <c r="IC31" s="52"/>
      <c r="ID31" s="52"/>
      <c r="IE31" s="52"/>
      <c r="IF31" s="52"/>
      <c r="IG31" s="52"/>
      <c r="IH31" s="52"/>
      <c r="II31" s="52"/>
      <c r="IJ31" s="52"/>
      <c r="IK31" s="52"/>
      <c r="IL31" s="52"/>
      <c r="IO31" s="31" t="s">
        <v>23</v>
      </c>
      <c r="IP31" s="31"/>
      <c r="IQ31" s="31"/>
      <c r="IR31" s="31"/>
      <c r="IS31" s="52">
        <f>[1]SUMMARY!$CJ$19</f>
        <v>0</v>
      </c>
      <c r="IT31" s="52"/>
      <c r="IU31" s="52"/>
      <c r="IV31" s="52"/>
      <c r="IW31" s="52"/>
      <c r="IX31" s="52"/>
      <c r="IY31" s="52"/>
      <c r="IZ31" s="52"/>
      <c r="JA31" s="52"/>
      <c r="JB31" s="52"/>
      <c r="JC31" s="52"/>
      <c r="JE31" s="31" t="s">
        <v>23</v>
      </c>
      <c r="JF31" s="31"/>
      <c r="JG31" s="31"/>
      <c r="JH31" s="31"/>
      <c r="JI31" s="52">
        <f>[1]SUMMARY!$CJ$20</f>
        <v>0</v>
      </c>
      <c r="JJ31" s="52"/>
      <c r="JK31" s="52"/>
      <c r="JL31" s="52"/>
      <c r="JM31" s="52"/>
      <c r="JN31" s="52"/>
      <c r="JO31" s="52"/>
      <c r="JP31" s="52"/>
      <c r="JQ31" s="52"/>
      <c r="JR31" s="52"/>
      <c r="JS31" s="52"/>
      <c r="JV31" s="31" t="s">
        <v>23</v>
      </c>
      <c r="JW31" s="31"/>
      <c r="JX31" s="31"/>
      <c r="JY31" s="31"/>
      <c r="JZ31" s="52">
        <f>[1]SUMMARY!$CJ$21</f>
        <v>0</v>
      </c>
      <c r="KA31" s="52"/>
      <c r="KB31" s="52"/>
      <c r="KC31" s="52"/>
      <c r="KD31" s="52"/>
      <c r="KE31" s="52"/>
      <c r="KF31" s="52"/>
      <c r="KG31" s="52"/>
      <c r="KH31" s="52"/>
      <c r="KI31" s="52"/>
      <c r="KJ31" s="52"/>
      <c r="KL31" s="31" t="s">
        <v>23</v>
      </c>
      <c r="KM31" s="31"/>
      <c r="KN31" s="31"/>
      <c r="KO31" s="31"/>
      <c r="KP31" s="52">
        <f>[1]SUMMARY!$CJ$22</f>
        <v>0</v>
      </c>
      <c r="KQ31" s="52"/>
      <c r="KR31" s="52"/>
      <c r="KS31" s="52"/>
      <c r="KT31" s="52"/>
      <c r="KU31" s="52"/>
      <c r="KV31" s="52"/>
      <c r="KW31" s="52"/>
      <c r="KX31" s="52"/>
      <c r="KY31" s="52"/>
      <c r="KZ31" s="52"/>
      <c r="LC31" s="31" t="s">
        <v>23</v>
      </c>
      <c r="LD31" s="31"/>
      <c r="LE31" s="31"/>
      <c r="LF31" s="31"/>
      <c r="LG31" s="52">
        <f>[1]SUMMARY!$CJ$23</f>
        <v>0</v>
      </c>
      <c r="LH31" s="52"/>
      <c r="LI31" s="52"/>
      <c r="LJ31" s="52"/>
      <c r="LK31" s="52"/>
      <c r="LL31" s="52"/>
      <c r="LM31" s="52"/>
      <c r="LN31" s="52"/>
      <c r="LO31" s="52"/>
      <c r="LP31" s="52"/>
      <c r="LQ31" s="52"/>
    </row>
    <row r="32" spans="1:330" x14ac:dyDescent="0.3">
      <c r="A32" s="11" t="s">
        <v>24</v>
      </c>
      <c r="D32" s="53">
        <f>[1]SUMMARY!$CK$4</f>
        <v>0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R32" s="11" t="s">
        <v>24</v>
      </c>
      <c r="U32" s="53">
        <f>[1]SUMMARY!$CK$5</f>
        <v>0</v>
      </c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H32" s="11" t="s">
        <v>24</v>
      </c>
      <c r="AK32" s="53">
        <f>[1]SUMMARY!$CK$6</f>
        <v>0</v>
      </c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Y32" s="11" t="s">
        <v>24</v>
      </c>
      <c r="BB32" s="53">
        <f>[1]SUMMARY!$CK$7</f>
        <v>0</v>
      </c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O32" s="11" t="s">
        <v>24</v>
      </c>
      <c r="BR32" s="53">
        <f>[1]SUMMARY!$CK$8</f>
        <v>0</v>
      </c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F32" s="11" t="s">
        <v>24</v>
      </c>
      <c r="CI32" s="53">
        <f>[1]SUMMARY!$CK$9</f>
        <v>0</v>
      </c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V32" s="11" t="s">
        <v>24</v>
      </c>
      <c r="CY32" s="53">
        <f>[1]SUMMARY!$CK$10</f>
        <v>0</v>
      </c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  <c r="DM32" s="11" t="s">
        <v>24</v>
      </c>
      <c r="DP32" s="53">
        <f>[1]SUMMARY!$CK$11</f>
        <v>0</v>
      </c>
      <c r="DQ32" s="53"/>
      <c r="DR32" s="53"/>
      <c r="DS32" s="53"/>
      <c r="DT32" s="53"/>
      <c r="DU32" s="53"/>
      <c r="DV32" s="53"/>
      <c r="DW32" s="53"/>
      <c r="DX32" s="53"/>
      <c r="DY32" s="53"/>
      <c r="DZ32" s="53"/>
      <c r="EA32" s="53"/>
      <c r="EC32" s="11" t="s">
        <v>24</v>
      </c>
      <c r="EF32" s="53">
        <f>[1]SUMMARY!$CK$12</f>
        <v>0</v>
      </c>
      <c r="EG32" s="53"/>
      <c r="EH32" s="53"/>
      <c r="EI32" s="53"/>
      <c r="EJ32" s="53"/>
      <c r="EK32" s="53"/>
      <c r="EL32" s="53"/>
      <c r="EM32" s="53"/>
      <c r="EN32" s="53"/>
      <c r="EO32" s="53"/>
      <c r="EP32" s="53"/>
      <c r="EQ32" s="53"/>
      <c r="ET32" s="11" t="s">
        <v>24</v>
      </c>
      <c r="EW32" s="53">
        <f>[1]SUMMARY!$CK$13</f>
        <v>0</v>
      </c>
      <c r="EX32" s="53"/>
      <c r="EY32" s="53"/>
      <c r="EZ32" s="53"/>
      <c r="FA32" s="53"/>
      <c r="FB32" s="53"/>
      <c r="FC32" s="53"/>
      <c r="FD32" s="53"/>
      <c r="FE32" s="53"/>
      <c r="FF32" s="53"/>
      <c r="FG32" s="53"/>
      <c r="FH32" s="53"/>
      <c r="FJ32" s="11" t="s">
        <v>24</v>
      </c>
      <c r="FM32" s="53">
        <f>[1]SUMMARY!$CK$14</f>
        <v>0</v>
      </c>
      <c r="FN32" s="53"/>
      <c r="FO32" s="53"/>
      <c r="FP32" s="53"/>
      <c r="FQ32" s="53"/>
      <c r="FR32" s="53"/>
      <c r="FS32" s="53"/>
      <c r="FT32" s="53"/>
      <c r="FU32" s="53"/>
      <c r="FV32" s="53"/>
      <c r="FW32" s="53"/>
      <c r="FX32" s="53"/>
      <c r="GA32" s="11" t="s">
        <v>24</v>
      </c>
      <c r="GD32" s="53">
        <f>[1]SUMMARY!$CK$15</f>
        <v>0</v>
      </c>
      <c r="GE32" s="53"/>
      <c r="GF32" s="53"/>
      <c r="GG32" s="53"/>
      <c r="GH32" s="53"/>
      <c r="GI32" s="53"/>
      <c r="GJ32" s="53"/>
      <c r="GK32" s="53"/>
      <c r="GL32" s="53"/>
      <c r="GM32" s="53"/>
      <c r="GN32" s="53"/>
      <c r="GO32" s="53"/>
      <c r="GQ32" s="11" t="s">
        <v>24</v>
      </c>
      <c r="GT32" s="53">
        <f>[1]SUMMARY!$CK$16</f>
        <v>0</v>
      </c>
      <c r="GU32" s="53"/>
      <c r="GV32" s="53"/>
      <c r="GW32" s="53"/>
      <c r="GX32" s="53"/>
      <c r="GY32" s="53"/>
      <c r="GZ32" s="53"/>
      <c r="HA32" s="53"/>
      <c r="HB32" s="53"/>
      <c r="HC32" s="53"/>
      <c r="HD32" s="53"/>
      <c r="HE32" s="53"/>
      <c r="HH32" s="11" t="s">
        <v>24</v>
      </c>
      <c r="HK32" s="53">
        <f>[1]SUMMARY!$CK$17</f>
        <v>0</v>
      </c>
      <c r="HL32" s="53"/>
      <c r="HM32" s="53"/>
      <c r="HN32" s="53"/>
      <c r="HO32" s="53"/>
      <c r="HP32" s="53"/>
      <c r="HQ32" s="53"/>
      <c r="HR32" s="53"/>
      <c r="HS32" s="53"/>
      <c r="HT32" s="53"/>
      <c r="HU32" s="53"/>
      <c r="HV32" s="53"/>
      <c r="HX32" s="11" t="s">
        <v>24</v>
      </c>
      <c r="IA32" s="53">
        <f>[1]SUMMARY!$CK$18</f>
        <v>0</v>
      </c>
      <c r="IB32" s="53"/>
      <c r="IC32" s="53"/>
      <c r="ID32" s="53"/>
      <c r="IE32" s="53"/>
      <c r="IF32" s="53"/>
      <c r="IG32" s="53"/>
      <c r="IH32" s="53"/>
      <c r="II32" s="53"/>
      <c r="IJ32" s="53"/>
      <c r="IK32" s="53"/>
      <c r="IL32" s="53"/>
      <c r="IO32" s="11" t="s">
        <v>24</v>
      </c>
      <c r="IR32" s="53">
        <f>[1]SUMMARY!$CK$19</f>
        <v>0</v>
      </c>
      <c r="IS32" s="53"/>
      <c r="IT32" s="53"/>
      <c r="IU32" s="53"/>
      <c r="IV32" s="53"/>
      <c r="IW32" s="53"/>
      <c r="IX32" s="53"/>
      <c r="IY32" s="53"/>
      <c r="IZ32" s="53"/>
      <c r="JA32" s="53"/>
      <c r="JB32" s="53"/>
      <c r="JC32" s="53"/>
      <c r="JE32" s="11" t="s">
        <v>24</v>
      </c>
      <c r="JH32" s="53">
        <f>[1]SUMMARY!$CK$20</f>
        <v>0</v>
      </c>
      <c r="JI32" s="53"/>
      <c r="JJ32" s="53"/>
      <c r="JK32" s="53"/>
      <c r="JL32" s="53"/>
      <c r="JM32" s="53"/>
      <c r="JN32" s="53"/>
      <c r="JO32" s="53"/>
      <c r="JP32" s="53"/>
      <c r="JQ32" s="53"/>
      <c r="JR32" s="53"/>
      <c r="JS32" s="53"/>
      <c r="JV32" s="11" t="s">
        <v>24</v>
      </c>
      <c r="JY32" s="53">
        <f>[1]SUMMARY!$CK$21</f>
        <v>0</v>
      </c>
      <c r="JZ32" s="53"/>
      <c r="KA32" s="53"/>
      <c r="KB32" s="53"/>
      <c r="KC32" s="53"/>
      <c r="KD32" s="53"/>
      <c r="KE32" s="53"/>
      <c r="KF32" s="53"/>
      <c r="KG32" s="53"/>
      <c r="KH32" s="53"/>
      <c r="KI32" s="53"/>
      <c r="KJ32" s="53"/>
      <c r="KL32" s="11" t="s">
        <v>24</v>
      </c>
      <c r="KO32" s="53">
        <f>[1]SUMMARY!$CK$22</f>
        <v>0</v>
      </c>
      <c r="KP32" s="53"/>
      <c r="KQ32" s="53"/>
      <c r="KR32" s="53"/>
      <c r="KS32" s="53"/>
      <c r="KT32" s="53"/>
      <c r="KU32" s="53"/>
      <c r="KV32" s="53"/>
      <c r="KW32" s="53"/>
      <c r="KX32" s="53"/>
      <c r="KY32" s="53"/>
      <c r="KZ32" s="53"/>
      <c r="LC32" s="11" t="s">
        <v>24</v>
      </c>
      <c r="LF32" s="53">
        <f>[1]SUMMARY!$CK$23</f>
        <v>0</v>
      </c>
      <c r="LG32" s="53"/>
      <c r="LH32" s="53"/>
      <c r="LI32" s="53"/>
      <c r="LJ32" s="53"/>
      <c r="LK32" s="53"/>
      <c r="LL32" s="53"/>
      <c r="LM32" s="53"/>
      <c r="LN32" s="53"/>
      <c r="LO32" s="53"/>
      <c r="LP32" s="53"/>
      <c r="LQ32" s="53"/>
    </row>
    <row r="33" spans="1:330" x14ac:dyDescent="0.3">
      <c r="A33" s="7" t="s">
        <v>25</v>
      </c>
      <c r="C33" s="53">
        <f>[1]SUMMARY!$CL$4</f>
        <v>0</v>
      </c>
      <c r="D33" s="53"/>
      <c r="E33" s="53"/>
      <c r="F33" s="53"/>
      <c r="G33" s="53"/>
      <c r="R33" s="7" t="s">
        <v>25</v>
      </c>
      <c r="T33" s="53">
        <f>[1]SUMMARY!$CL$5</f>
        <v>0</v>
      </c>
      <c r="U33" s="53"/>
      <c r="V33" s="53"/>
      <c r="W33" s="53"/>
      <c r="X33" s="53"/>
      <c r="AH33" s="7" t="s">
        <v>25</v>
      </c>
      <c r="AJ33" s="53">
        <f>[1]SUMMARY!$CL$6</f>
        <v>0</v>
      </c>
      <c r="AK33" s="53"/>
      <c r="AL33" s="53"/>
      <c r="AM33" s="53"/>
      <c r="AN33" s="53"/>
      <c r="AY33" s="7" t="s">
        <v>25</v>
      </c>
      <c r="BA33" s="53">
        <f>[1]SUMMARY!$CL$7</f>
        <v>0</v>
      </c>
      <c r="BB33" s="53"/>
      <c r="BC33" s="53"/>
      <c r="BD33" s="53"/>
      <c r="BE33" s="53"/>
      <c r="BO33" s="7" t="s">
        <v>25</v>
      </c>
      <c r="BQ33" s="53">
        <f>[1]SUMMARY!$CL$8</f>
        <v>0</v>
      </c>
      <c r="BR33" s="53"/>
      <c r="BS33" s="53"/>
      <c r="BT33" s="53"/>
      <c r="BU33" s="53"/>
      <c r="CF33" s="7" t="s">
        <v>25</v>
      </c>
      <c r="CH33" s="53">
        <f>[1]SUMMARY!$CL$9</f>
        <v>0</v>
      </c>
      <c r="CI33" s="53"/>
      <c r="CJ33" s="53"/>
      <c r="CK33" s="53"/>
      <c r="CL33" s="53"/>
      <c r="CV33" s="7" t="s">
        <v>25</v>
      </c>
      <c r="CX33" s="53">
        <f>[1]SUMMARY!$CL$10</f>
        <v>0</v>
      </c>
      <c r="CY33" s="53"/>
      <c r="CZ33" s="53"/>
      <c r="DA33" s="53"/>
      <c r="DB33" s="53"/>
      <c r="DM33" s="7" t="s">
        <v>25</v>
      </c>
      <c r="DO33" s="53">
        <f>[1]SUMMARY!$CL$11</f>
        <v>0</v>
      </c>
      <c r="DP33" s="53"/>
      <c r="DQ33" s="53"/>
      <c r="DR33" s="53"/>
      <c r="DS33" s="53"/>
      <c r="EC33" s="7" t="s">
        <v>25</v>
      </c>
      <c r="EE33" s="53">
        <f>[1]SUMMARY!$CL$12</f>
        <v>0</v>
      </c>
      <c r="EF33" s="53"/>
      <c r="EG33" s="53"/>
      <c r="EH33" s="53"/>
      <c r="EI33" s="53"/>
      <c r="ET33" s="7" t="s">
        <v>25</v>
      </c>
      <c r="EV33" s="53">
        <f>[1]SUMMARY!$CL$13</f>
        <v>0</v>
      </c>
      <c r="EW33" s="53"/>
      <c r="EX33" s="53"/>
      <c r="EY33" s="53"/>
      <c r="EZ33" s="53"/>
      <c r="FJ33" s="7" t="s">
        <v>25</v>
      </c>
      <c r="FL33" s="53">
        <f>[1]SUMMARY!$CL$14</f>
        <v>0</v>
      </c>
      <c r="FM33" s="53"/>
      <c r="FN33" s="53"/>
      <c r="FO33" s="53"/>
      <c r="FP33" s="53"/>
      <c r="GA33" s="7" t="s">
        <v>25</v>
      </c>
      <c r="GC33" s="53">
        <f>[1]SUMMARY!$CL$16</f>
        <v>0</v>
      </c>
      <c r="GD33" s="53"/>
      <c r="GE33" s="53"/>
      <c r="GF33" s="53"/>
      <c r="GG33" s="53"/>
      <c r="GQ33" s="7" t="s">
        <v>25</v>
      </c>
      <c r="GS33" s="53">
        <f>[1]SUMMARY!$CL$16</f>
        <v>0</v>
      </c>
      <c r="GT33" s="53"/>
      <c r="GU33" s="53"/>
      <c r="GV33" s="53"/>
      <c r="GW33" s="53"/>
      <c r="HH33" s="7" t="s">
        <v>25</v>
      </c>
      <c r="HJ33" s="53">
        <f>[1]SUMMARY!$CL$17</f>
        <v>0</v>
      </c>
      <c r="HK33" s="53"/>
      <c r="HL33" s="53"/>
      <c r="HM33" s="53"/>
      <c r="HN33" s="53"/>
      <c r="HX33" s="7" t="s">
        <v>25</v>
      </c>
      <c r="HZ33" s="53">
        <f>[1]SUMMARY!$CL$18</f>
        <v>0</v>
      </c>
      <c r="IA33" s="53"/>
      <c r="IB33" s="53"/>
      <c r="IC33" s="53"/>
      <c r="ID33" s="53"/>
      <c r="IO33" s="7" t="s">
        <v>25</v>
      </c>
      <c r="IQ33" s="53">
        <f>[1]SUMMARY!$CL$19</f>
        <v>0</v>
      </c>
      <c r="IR33" s="53"/>
      <c r="IS33" s="53"/>
      <c r="IT33" s="53"/>
      <c r="IU33" s="53"/>
      <c r="JE33" s="7" t="s">
        <v>25</v>
      </c>
      <c r="JG33" s="53">
        <f>[1]SUMMARY!$CL$20</f>
        <v>0</v>
      </c>
      <c r="JH33" s="53"/>
      <c r="JI33" s="53"/>
      <c r="JJ33" s="53"/>
      <c r="JK33" s="53"/>
      <c r="JV33" s="7" t="s">
        <v>25</v>
      </c>
      <c r="JX33" s="53">
        <f>[1]SUMMARY!$CL$21</f>
        <v>0</v>
      </c>
      <c r="JY33" s="53"/>
      <c r="JZ33" s="53"/>
      <c r="KA33" s="53"/>
      <c r="KB33" s="53"/>
      <c r="KL33" s="7" t="s">
        <v>25</v>
      </c>
      <c r="KN33" s="53">
        <f>[1]SUMMARY!$CL$22</f>
        <v>0</v>
      </c>
      <c r="KO33" s="53"/>
      <c r="KP33" s="53"/>
      <c r="KQ33" s="53"/>
      <c r="KR33" s="53"/>
      <c r="LC33" s="7" t="s">
        <v>25</v>
      </c>
      <c r="LE33" s="53">
        <f>[1]SUMMARY!$CL$23</f>
        <v>0</v>
      </c>
      <c r="LF33" s="53"/>
      <c r="LG33" s="53"/>
      <c r="LH33" s="53"/>
      <c r="LI33" s="53"/>
    </row>
    <row r="34" spans="1:330" x14ac:dyDescent="0.3">
      <c r="A34" s="51" t="str">
        <f>[1]SUMMARY!$A$49</f>
        <v>MARION RODRIGO D. MARIÑAS III</v>
      </c>
      <c r="B34" s="51"/>
      <c r="C34" s="51"/>
      <c r="D34" s="51"/>
      <c r="E34" s="51"/>
      <c r="F34" s="51"/>
      <c r="G34" s="51"/>
      <c r="I34" s="51" t="str">
        <f>[1]SUMMARY!$C$49</f>
        <v>MARION RODRIGO D. MARIÑAS III</v>
      </c>
      <c r="J34" s="51"/>
      <c r="K34" s="51"/>
      <c r="L34" s="51"/>
      <c r="M34" s="51"/>
      <c r="N34" s="51"/>
      <c r="O34" s="51"/>
      <c r="P34" s="51"/>
      <c r="R34" s="51" t="str">
        <f>[1]SUMMARY!$A$49</f>
        <v>MARION RODRIGO D. MARIÑAS III</v>
      </c>
      <c r="S34" s="51"/>
      <c r="T34" s="51"/>
      <c r="U34" s="51"/>
      <c r="V34" s="51"/>
      <c r="W34" s="51"/>
      <c r="X34" s="51"/>
      <c r="Z34" s="51" t="str">
        <f>[1]SUMMARY!$C$49</f>
        <v>MARION RODRIGO D. MARIÑAS III</v>
      </c>
      <c r="AA34" s="51"/>
      <c r="AB34" s="51"/>
      <c r="AC34" s="51"/>
      <c r="AD34" s="51"/>
      <c r="AE34" s="51"/>
      <c r="AF34" s="51"/>
      <c r="AG34" s="51"/>
      <c r="AH34" s="51" t="str">
        <f>[1]SUMMARY!$A$49</f>
        <v>MARION RODRIGO D. MARIÑAS III</v>
      </c>
      <c r="AI34" s="51"/>
      <c r="AJ34" s="51"/>
      <c r="AK34" s="51"/>
      <c r="AL34" s="51"/>
      <c r="AM34" s="51"/>
      <c r="AN34" s="51"/>
      <c r="AP34" s="51" t="str">
        <f>[1]SUMMARY!$C$49</f>
        <v>MARION RODRIGO D. MARIÑAS III</v>
      </c>
      <c r="AQ34" s="51"/>
      <c r="AR34" s="51"/>
      <c r="AS34" s="51"/>
      <c r="AT34" s="51"/>
      <c r="AU34" s="51"/>
      <c r="AV34" s="51"/>
      <c r="AW34" s="51"/>
      <c r="AY34" s="51" t="str">
        <f>[1]SUMMARY!$A$49</f>
        <v>MARION RODRIGO D. MARIÑAS III</v>
      </c>
      <c r="AZ34" s="51"/>
      <c r="BA34" s="51"/>
      <c r="BB34" s="51"/>
      <c r="BC34" s="51"/>
      <c r="BD34" s="51"/>
      <c r="BE34" s="51"/>
      <c r="BG34" s="51" t="str">
        <f>[1]SUMMARY!$C$49</f>
        <v>MARION RODRIGO D. MARIÑAS III</v>
      </c>
      <c r="BH34" s="51"/>
      <c r="BI34" s="51"/>
      <c r="BJ34" s="51"/>
      <c r="BK34" s="51"/>
      <c r="BL34" s="51"/>
      <c r="BM34" s="51"/>
      <c r="BN34" s="51"/>
      <c r="BO34" s="51" t="str">
        <f>[1]SUMMARY!$A$49</f>
        <v>MARION RODRIGO D. MARIÑAS III</v>
      </c>
      <c r="BP34" s="51"/>
      <c r="BQ34" s="51"/>
      <c r="BR34" s="51"/>
      <c r="BS34" s="51"/>
      <c r="BT34" s="51"/>
      <c r="BU34" s="51"/>
      <c r="BW34" s="51" t="str">
        <f>[1]SUMMARY!$C$49</f>
        <v>MARION RODRIGO D. MARIÑAS III</v>
      </c>
      <c r="BX34" s="51"/>
      <c r="BY34" s="51"/>
      <c r="BZ34" s="51"/>
      <c r="CA34" s="51"/>
      <c r="CB34" s="51"/>
      <c r="CC34" s="51"/>
      <c r="CD34" s="51"/>
      <c r="CF34" s="51" t="str">
        <f>[1]SUMMARY!$A$49</f>
        <v>MARION RODRIGO D. MARIÑAS III</v>
      </c>
      <c r="CG34" s="51"/>
      <c r="CH34" s="51"/>
      <c r="CI34" s="51"/>
      <c r="CJ34" s="51"/>
      <c r="CK34" s="51"/>
      <c r="CL34" s="51"/>
      <c r="CN34" s="51" t="str">
        <f>[1]SUMMARY!$C$49</f>
        <v>MARION RODRIGO D. MARIÑAS III</v>
      </c>
      <c r="CO34" s="51"/>
      <c r="CP34" s="51"/>
      <c r="CQ34" s="51"/>
      <c r="CR34" s="51"/>
      <c r="CS34" s="51"/>
      <c r="CT34" s="51"/>
      <c r="CU34" s="51"/>
      <c r="CV34" s="51" t="str">
        <f>[1]SUMMARY!$A$49</f>
        <v>MARION RODRIGO D. MARIÑAS III</v>
      </c>
      <c r="CW34" s="51"/>
      <c r="CX34" s="51"/>
      <c r="CY34" s="51"/>
      <c r="CZ34" s="51"/>
      <c r="DA34" s="51"/>
      <c r="DB34" s="51"/>
      <c r="DD34" s="51" t="str">
        <f>[1]SUMMARY!$C$49</f>
        <v>MARION RODRIGO D. MARIÑAS III</v>
      </c>
      <c r="DE34" s="51"/>
      <c r="DF34" s="51"/>
      <c r="DG34" s="51"/>
      <c r="DH34" s="51"/>
      <c r="DI34" s="51"/>
      <c r="DJ34" s="51"/>
      <c r="DK34" s="51"/>
      <c r="DM34" s="51" t="str">
        <f>[1]SUMMARY!$A$49</f>
        <v>MARION RODRIGO D. MARIÑAS III</v>
      </c>
      <c r="DN34" s="51"/>
      <c r="DO34" s="51"/>
      <c r="DP34" s="51"/>
      <c r="DQ34" s="51"/>
      <c r="DR34" s="51"/>
      <c r="DS34" s="51"/>
      <c r="DU34" s="51" t="str">
        <f>[1]SUMMARY!$C$49</f>
        <v>MARION RODRIGO D. MARIÑAS III</v>
      </c>
      <c r="DV34" s="51"/>
      <c r="DW34" s="51"/>
      <c r="DX34" s="51"/>
      <c r="DY34" s="51"/>
      <c r="DZ34" s="51"/>
      <c r="EA34" s="51"/>
      <c r="EB34" s="51"/>
      <c r="EC34" s="51" t="str">
        <f>[1]SUMMARY!$A$49</f>
        <v>MARION RODRIGO D. MARIÑAS III</v>
      </c>
      <c r="ED34" s="51"/>
      <c r="EE34" s="51"/>
      <c r="EF34" s="51"/>
      <c r="EG34" s="51"/>
      <c r="EH34" s="51"/>
      <c r="EI34" s="51"/>
      <c r="EK34" s="51" t="str">
        <f>[1]SUMMARY!$C$49</f>
        <v>MARION RODRIGO D. MARIÑAS III</v>
      </c>
      <c r="EL34" s="51"/>
      <c r="EM34" s="51"/>
      <c r="EN34" s="51"/>
      <c r="EO34" s="51"/>
      <c r="EP34" s="51"/>
      <c r="EQ34" s="51"/>
      <c r="ER34" s="51"/>
      <c r="ET34" s="51" t="str">
        <f>[1]SUMMARY!$A$49</f>
        <v>MARION RODRIGO D. MARIÑAS III</v>
      </c>
      <c r="EU34" s="51"/>
      <c r="EV34" s="51"/>
      <c r="EW34" s="51"/>
      <c r="EX34" s="51"/>
      <c r="EY34" s="51"/>
      <c r="EZ34" s="51"/>
      <c r="FB34" s="51" t="str">
        <f>[1]SUMMARY!$C$49</f>
        <v>MARION RODRIGO D. MARIÑAS III</v>
      </c>
      <c r="FC34" s="51"/>
      <c r="FD34" s="51"/>
      <c r="FE34" s="51"/>
      <c r="FF34" s="51"/>
      <c r="FG34" s="51"/>
      <c r="FH34" s="51"/>
      <c r="FI34" s="51"/>
      <c r="FJ34" s="51" t="str">
        <f>[1]SUMMARY!$A$49</f>
        <v>MARION RODRIGO D. MARIÑAS III</v>
      </c>
      <c r="FK34" s="51"/>
      <c r="FL34" s="51"/>
      <c r="FM34" s="51"/>
      <c r="FN34" s="51"/>
      <c r="FO34" s="51"/>
      <c r="FP34" s="51"/>
      <c r="FR34" s="51" t="str">
        <f>[1]SUMMARY!$C$49</f>
        <v>MARION RODRIGO D. MARIÑAS III</v>
      </c>
      <c r="FS34" s="51"/>
      <c r="FT34" s="51"/>
      <c r="FU34" s="51"/>
      <c r="FV34" s="51"/>
      <c r="FW34" s="51"/>
      <c r="FX34" s="51"/>
      <c r="FY34" s="51"/>
      <c r="GA34" s="51" t="str">
        <f>[1]SUMMARY!$A$49</f>
        <v>MARION RODRIGO D. MARIÑAS III</v>
      </c>
      <c r="GB34" s="51"/>
      <c r="GC34" s="51"/>
      <c r="GD34" s="51"/>
      <c r="GE34" s="51"/>
      <c r="GF34" s="51"/>
      <c r="GG34" s="51"/>
      <c r="GI34" s="51" t="str">
        <f>[1]SUMMARY!$C$49</f>
        <v>MARION RODRIGO D. MARIÑAS III</v>
      </c>
      <c r="GJ34" s="51"/>
      <c r="GK34" s="51"/>
      <c r="GL34" s="51"/>
      <c r="GM34" s="51"/>
      <c r="GN34" s="51"/>
      <c r="GO34" s="51"/>
      <c r="GP34" s="51"/>
      <c r="GQ34" s="51" t="str">
        <f>[1]SUMMARY!$A$49</f>
        <v>MARION RODRIGO D. MARIÑAS III</v>
      </c>
      <c r="GR34" s="51"/>
      <c r="GS34" s="51"/>
      <c r="GT34" s="51"/>
      <c r="GU34" s="51"/>
      <c r="GV34" s="51"/>
      <c r="GW34" s="51"/>
      <c r="GY34" s="51" t="str">
        <f>[1]SUMMARY!$C$49</f>
        <v>MARION RODRIGO D. MARIÑAS III</v>
      </c>
      <c r="GZ34" s="51"/>
      <c r="HA34" s="51"/>
      <c r="HB34" s="51"/>
      <c r="HC34" s="51"/>
      <c r="HD34" s="51"/>
      <c r="HE34" s="51"/>
      <c r="HF34" s="51"/>
      <c r="HH34" s="51" t="str">
        <f>[1]SUMMARY!$A$49</f>
        <v>MARION RODRIGO D. MARIÑAS III</v>
      </c>
      <c r="HI34" s="51"/>
      <c r="HJ34" s="51"/>
      <c r="HK34" s="51"/>
      <c r="HL34" s="51"/>
      <c r="HM34" s="51"/>
      <c r="HN34" s="51"/>
      <c r="HP34" s="51" t="str">
        <f>[1]SUMMARY!$C$49</f>
        <v>MARION RODRIGO D. MARIÑAS III</v>
      </c>
      <c r="HQ34" s="51"/>
      <c r="HR34" s="51"/>
      <c r="HS34" s="51"/>
      <c r="HT34" s="51"/>
      <c r="HU34" s="51"/>
      <c r="HV34" s="51"/>
      <c r="HW34" s="51"/>
      <c r="HX34" s="51" t="str">
        <f>[1]SUMMARY!$A$49</f>
        <v>MARION RODRIGO D. MARIÑAS III</v>
      </c>
      <c r="HY34" s="51"/>
      <c r="HZ34" s="51"/>
      <c r="IA34" s="51"/>
      <c r="IB34" s="51"/>
      <c r="IC34" s="51"/>
      <c r="ID34" s="51"/>
      <c r="IF34" s="51" t="str">
        <f>[1]SUMMARY!$C$49</f>
        <v>MARION RODRIGO D. MARIÑAS III</v>
      </c>
      <c r="IG34" s="51"/>
      <c r="IH34" s="51"/>
      <c r="II34" s="51"/>
      <c r="IJ34" s="51"/>
      <c r="IK34" s="51"/>
      <c r="IL34" s="51"/>
      <c r="IM34" s="51"/>
      <c r="IO34" s="51" t="str">
        <f>[1]SUMMARY!$A$49</f>
        <v>MARION RODRIGO D. MARIÑAS III</v>
      </c>
      <c r="IP34" s="51"/>
      <c r="IQ34" s="51"/>
      <c r="IR34" s="51"/>
      <c r="IS34" s="51"/>
      <c r="IT34" s="51"/>
      <c r="IU34" s="51"/>
      <c r="IW34" s="51" t="str">
        <f>[1]SUMMARY!$C$49</f>
        <v>MARION RODRIGO D. MARIÑAS III</v>
      </c>
      <c r="IX34" s="51"/>
      <c r="IY34" s="51"/>
      <c r="IZ34" s="51"/>
      <c r="JA34" s="51"/>
      <c r="JB34" s="51"/>
      <c r="JC34" s="51"/>
      <c r="JD34" s="51"/>
      <c r="JE34" s="51" t="str">
        <f>[1]SUMMARY!$A$49</f>
        <v>MARION RODRIGO D. MARIÑAS III</v>
      </c>
      <c r="JF34" s="51"/>
      <c r="JG34" s="51"/>
      <c r="JH34" s="51"/>
      <c r="JI34" s="51"/>
      <c r="JJ34" s="51"/>
      <c r="JK34" s="51"/>
      <c r="JM34" s="51" t="str">
        <f>[1]SUMMARY!$C$49</f>
        <v>MARION RODRIGO D. MARIÑAS III</v>
      </c>
      <c r="JN34" s="51"/>
      <c r="JO34" s="51"/>
      <c r="JP34" s="51"/>
      <c r="JQ34" s="51"/>
      <c r="JR34" s="51"/>
      <c r="JS34" s="51"/>
      <c r="JT34" s="51"/>
      <c r="JV34" s="51" t="str">
        <f>[1]SUMMARY!$A$49</f>
        <v>MARION RODRIGO D. MARIÑAS III</v>
      </c>
      <c r="JW34" s="51"/>
      <c r="JX34" s="51"/>
      <c r="JY34" s="51"/>
      <c r="JZ34" s="51"/>
      <c r="KA34" s="51"/>
      <c r="KB34" s="51"/>
      <c r="KD34" s="51" t="str">
        <f>[1]SUMMARY!$C$49</f>
        <v>MARION RODRIGO D. MARIÑAS III</v>
      </c>
      <c r="KE34" s="51"/>
      <c r="KF34" s="51"/>
      <c r="KG34" s="51"/>
      <c r="KH34" s="51"/>
      <c r="KI34" s="51"/>
      <c r="KJ34" s="51"/>
      <c r="KK34" s="51"/>
      <c r="KL34" s="51" t="str">
        <f>[1]SUMMARY!$A$49</f>
        <v>MARION RODRIGO D. MARIÑAS III</v>
      </c>
      <c r="KM34" s="51"/>
      <c r="KN34" s="51"/>
      <c r="KO34" s="51"/>
      <c r="KP34" s="51"/>
      <c r="KQ34" s="51"/>
      <c r="KR34" s="51"/>
      <c r="KT34" s="51" t="str">
        <f>[1]SUMMARY!$C$49</f>
        <v>MARION RODRIGO D. MARIÑAS III</v>
      </c>
      <c r="KU34" s="51"/>
      <c r="KV34" s="51"/>
      <c r="KW34" s="51"/>
      <c r="KX34" s="51"/>
      <c r="KY34" s="51"/>
      <c r="KZ34" s="51"/>
      <c r="LA34" s="51"/>
      <c r="LC34" s="51" t="str">
        <f>[1]SUMMARY!$A$49</f>
        <v>MARION RODRIGO D. MARIÑAS III</v>
      </c>
      <c r="LD34" s="51"/>
      <c r="LE34" s="51"/>
      <c r="LF34" s="51"/>
      <c r="LG34" s="51"/>
      <c r="LH34" s="51"/>
      <c r="LI34" s="51"/>
      <c r="LK34" s="51" t="str">
        <f>[1]SUMMARY!$C$49</f>
        <v>MARION RODRIGO D. MARIÑAS III</v>
      </c>
      <c r="LL34" s="51"/>
      <c r="LM34" s="51"/>
      <c r="LN34" s="51"/>
      <c r="LO34" s="51"/>
      <c r="LP34" s="51"/>
      <c r="LQ34" s="51"/>
      <c r="LR34" s="51"/>
    </row>
    <row r="35" spans="1:330" ht="15" thickBot="1" x14ac:dyDescent="0.35">
      <c r="A35" s="48" t="s">
        <v>26</v>
      </c>
      <c r="B35" s="48" t="e">
        <f>IF(#REF!&lt;&gt;"", "Class Adviser", "")</f>
        <v>#REF!</v>
      </c>
      <c r="C35" s="48" t="str">
        <f t="shared" ref="C35:G35" si="20">IF(A26&lt;&gt;"", "Class Adviser", "")</f>
        <v/>
      </c>
      <c r="D35" s="48" t="str">
        <f t="shared" si="20"/>
        <v/>
      </c>
      <c r="E35" s="48" t="str">
        <f t="shared" si="20"/>
        <v>Class Adviser</v>
      </c>
      <c r="F35" s="48" t="str">
        <f t="shared" si="20"/>
        <v>Class Adviser</v>
      </c>
      <c r="G35" s="48" t="str">
        <f t="shared" si="20"/>
        <v>Class Adviser</v>
      </c>
      <c r="H35" s="32"/>
      <c r="I35" s="48" t="s">
        <v>27</v>
      </c>
      <c r="J35" s="48"/>
      <c r="K35" s="48"/>
      <c r="L35" s="48"/>
      <c r="M35" s="48"/>
      <c r="N35" s="48"/>
      <c r="O35" s="48"/>
      <c r="P35" s="48"/>
      <c r="R35" s="48" t="s">
        <v>26</v>
      </c>
      <c r="S35" s="48"/>
      <c r="T35" s="48"/>
      <c r="U35" s="48"/>
      <c r="V35" s="48"/>
      <c r="W35" s="48"/>
      <c r="X35" s="48"/>
      <c r="Y35" s="32"/>
      <c r="Z35" s="48" t="s">
        <v>27</v>
      </c>
      <c r="AA35" s="48"/>
      <c r="AB35" s="48"/>
      <c r="AC35" s="48"/>
      <c r="AD35" s="48"/>
      <c r="AE35" s="48"/>
      <c r="AF35" s="48"/>
      <c r="AG35" s="48"/>
      <c r="AH35" s="48" t="s">
        <v>26</v>
      </c>
      <c r="AI35" s="48"/>
      <c r="AJ35" s="48"/>
      <c r="AK35" s="48"/>
      <c r="AL35" s="48"/>
      <c r="AM35" s="48"/>
      <c r="AN35" s="48"/>
      <c r="AO35" s="32"/>
      <c r="AP35" s="48" t="s">
        <v>27</v>
      </c>
      <c r="AQ35" s="48"/>
      <c r="AR35" s="48"/>
      <c r="AS35" s="48"/>
      <c r="AT35" s="48"/>
      <c r="AU35" s="48"/>
      <c r="AV35" s="48"/>
      <c r="AW35" s="48"/>
      <c r="AY35" s="48" t="s">
        <v>26</v>
      </c>
      <c r="AZ35" s="48"/>
      <c r="BA35" s="48"/>
      <c r="BB35" s="48"/>
      <c r="BC35" s="48"/>
      <c r="BD35" s="48"/>
      <c r="BE35" s="48"/>
      <c r="BF35" s="32"/>
      <c r="BG35" s="48" t="s">
        <v>27</v>
      </c>
      <c r="BH35" s="48"/>
      <c r="BI35" s="48"/>
      <c r="BJ35" s="48"/>
      <c r="BK35" s="48"/>
      <c r="BL35" s="48"/>
      <c r="BM35" s="48"/>
      <c r="BN35" s="48"/>
      <c r="BO35" s="48" t="s">
        <v>26</v>
      </c>
      <c r="BP35" s="48"/>
      <c r="BQ35" s="48"/>
      <c r="BR35" s="48"/>
      <c r="BS35" s="48"/>
      <c r="BT35" s="48"/>
      <c r="BU35" s="48"/>
      <c r="BV35" s="32"/>
      <c r="BW35" s="48" t="s">
        <v>27</v>
      </c>
      <c r="BX35" s="48"/>
      <c r="BY35" s="48"/>
      <c r="BZ35" s="48"/>
      <c r="CA35" s="48"/>
      <c r="CB35" s="48"/>
      <c r="CC35" s="48"/>
      <c r="CD35" s="48"/>
      <c r="CF35" s="48" t="s">
        <v>26</v>
      </c>
      <c r="CG35" s="48"/>
      <c r="CH35" s="48"/>
      <c r="CI35" s="48"/>
      <c r="CJ35" s="48"/>
      <c r="CK35" s="48"/>
      <c r="CL35" s="48"/>
      <c r="CM35" s="32"/>
      <c r="CN35" s="48" t="s">
        <v>27</v>
      </c>
      <c r="CO35" s="48"/>
      <c r="CP35" s="48"/>
      <c r="CQ35" s="48"/>
      <c r="CR35" s="48"/>
      <c r="CS35" s="48"/>
      <c r="CT35" s="48"/>
      <c r="CU35" s="48"/>
      <c r="CV35" s="48" t="s">
        <v>26</v>
      </c>
      <c r="CW35" s="48"/>
      <c r="CX35" s="48"/>
      <c r="CY35" s="48"/>
      <c r="CZ35" s="48"/>
      <c r="DA35" s="48"/>
      <c r="DB35" s="48"/>
      <c r="DC35" s="32"/>
      <c r="DD35" s="48" t="s">
        <v>27</v>
      </c>
      <c r="DE35" s="48"/>
      <c r="DF35" s="48"/>
      <c r="DG35" s="48"/>
      <c r="DH35" s="48"/>
      <c r="DI35" s="48"/>
      <c r="DJ35" s="48"/>
      <c r="DK35" s="48"/>
      <c r="DM35" s="48" t="s">
        <v>26</v>
      </c>
      <c r="DN35" s="48"/>
      <c r="DO35" s="48"/>
      <c r="DP35" s="48"/>
      <c r="DQ35" s="48"/>
      <c r="DR35" s="48"/>
      <c r="DS35" s="48"/>
      <c r="DT35" s="32"/>
      <c r="DU35" s="48" t="s">
        <v>27</v>
      </c>
      <c r="DV35" s="48"/>
      <c r="DW35" s="48"/>
      <c r="DX35" s="48"/>
      <c r="DY35" s="48"/>
      <c r="DZ35" s="48"/>
      <c r="EA35" s="48"/>
      <c r="EB35" s="48"/>
      <c r="EC35" s="48" t="s">
        <v>26</v>
      </c>
      <c r="ED35" s="48"/>
      <c r="EE35" s="48"/>
      <c r="EF35" s="48"/>
      <c r="EG35" s="48"/>
      <c r="EH35" s="48"/>
      <c r="EI35" s="48"/>
      <c r="EJ35" s="32"/>
      <c r="EK35" s="48" t="s">
        <v>27</v>
      </c>
      <c r="EL35" s="48"/>
      <c r="EM35" s="48"/>
      <c r="EN35" s="48"/>
      <c r="EO35" s="48"/>
      <c r="EP35" s="48"/>
      <c r="EQ35" s="48"/>
      <c r="ER35" s="48"/>
      <c r="ET35" s="48" t="s">
        <v>26</v>
      </c>
      <c r="EU35" s="48"/>
      <c r="EV35" s="48"/>
      <c r="EW35" s="48"/>
      <c r="EX35" s="48"/>
      <c r="EY35" s="48"/>
      <c r="EZ35" s="48"/>
      <c r="FA35" s="32"/>
      <c r="FB35" s="48" t="s">
        <v>27</v>
      </c>
      <c r="FC35" s="48"/>
      <c r="FD35" s="48"/>
      <c r="FE35" s="48"/>
      <c r="FF35" s="48"/>
      <c r="FG35" s="48"/>
      <c r="FH35" s="48"/>
      <c r="FI35" s="48"/>
      <c r="FJ35" s="48" t="s">
        <v>26</v>
      </c>
      <c r="FK35" s="48"/>
      <c r="FL35" s="48"/>
      <c r="FM35" s="48"/>
      <c r="FN35" s="48"/>
      <c r="FO35" s="48"/>
      <c r="FP35" s="48"/>
      <c r="FQ35" s="32"/>
      <c r="FR35" s="48" t="s">
        <v>27</v>
      </c>
      <c r="FS35" s="48"/>
      <c r="FT35" s="48"/>
      <c r="FU35" s="48"/>
      <c r="FV35" s="48"/>
      <c r="FW35" s="48"/>
      <c r="FX35" s="48"/>
      <c r="FY35" s="48"/>
      <c r="GA35" s="48" t="s">
        <v>26</v>
      </c>
      <c r="GB35" s="48"/>
      <c r="GC35" s="48"/>
      <c r="GD35" s="48"/>
      <c r="GE35" s="48"/>
      <c r="GF35" s="48"/>
      <c r="GG35" s="48"/>
      <c r="GH35" s="32"/>
      <c r="GI35" s="48" t="s">
        <v>27</v>
      </c>
      <c r="GJ35" s="48"/>
      <c r="GK35" s="48"/>
      <c r="GL35" s="48"/>
      <c r="GM35" s="48"/>
      <c r="GN35" s="48"/>
      <c r="GO35" s="48"/>
      <c r="GP35" s="48"/>
      <c r="GQ35" s="48" t="s">
        <v>26</v>
      </c>
      <c r="GR35" s="48"/>
      <c r="GS35" s="48"/>
      <c r="GT35" s="48"/>
      <c r="GU35" s="48"/>
      <c r="GV35" s="48"/>
      <c r="GW35" s="48"/>
      <c r="GX35" s="32"/>
      <c r="GY35" s="48" t="s">
        <v>27</v>
      </c>
      <c r="GZ35" s="48"/>
      <c r="HA35" s="48"/>
      <c r="HB35" s="48"/>
      <c r="HC35" s="48"/>
      <c r="HD35" s="48"/>
      <c r="HE35" s="48"/>
      <c r="HF35" s="48"/>
      <c r="HH35" s="48" t="s">
        <v>26</v>
      </c>
      <c r="HI35" s="48"/>
      <c r="HJ35" s="48"/>
      <c r="HK35" s="48"/>
      <c r="HL35" s="48"/>
      <c r="HM35" s="48"/>
      <c r="HN35" s="48"/>
      <c r="HO35" s="32"/>
      <c r="HP35" s="48" t="s">
        <v>27</v>
      </c>
      <c r="HQ35" s="48"/>
      <c r="HR35" s="48"/>
      <c r="HS35" s="48"/>
      <c r="HT35" s="48"/>
      <c r="HU35" s="48"/>
      <c r="HV35" s="48"/>
      <c r="HW35" s="48"/>
      <c r="HX35" s="48" t="s">
        <v>26</v>
      </c>
      <c r="HY35" s="48"/>
      <c r="HZ35" s="48"/>
      <c r="IA35" s="48"/>
      <c r="IB35" s="48"/>
      <c r="IC35" s="48"/>
      <c r="ID35" s="48"/>
      <c r="IE35" s="32"/>
      <c r="IF35" s="48" t="s">
        <v>27</v>
      </c>
      <c r="IG35" s="48"/>
      <c r="IH35" s="48"/>
      <c r="II35" s="48"/>
      <c r="IJ35" s="48"/>
      <c r="IK35" s="48"/>
      <c r="IL35" s="48"/>
      <c r="IM35" s="48"/>
      <c r="IO35" s="48" t="s">
        <v>26</v>
      </c>
      <c r="IP35" s="48"/>
      <c r="IQ35" s="48"/>
      <c r="IR35" s="48"/>
      <c r="IS35" s="48"/>
      <c r="IT35" s="48"/>
      <c r="IU35" s="48"/>
      <c r="IV35" s="32"/>
      <c r="IW35" s="48" t="s">
        <v>27</v>
      </c>
      <c r="IX35" s="48"/>
      <c r="IY35" s="48"/>
      <c r="IZ35" s="48"/>
      <c r="JA35" s="48"/>
      <c r="JB35" s="48"/>
      <c r="JC35" s="48"/>
      <c r="JD35" s="48"/>
      <c r="JE35" s="48" t="s">
        <v>26</v>
      </c>
      <c r="JF35" s="48"/>
      <c r="JG35" s="48"/>
      <c r="JH35" s="48"/>
      <c r="JI35" s="48"/>
      <c r="JJ35" s="48"/>
      <c r="JK35" s="48"/>
      <c r="JL35" s="32"/>
      <c r="JM35" s="48" t="s">
        <v>27</v>
      </c>
      <c r="JN35" s="48"/>
      <c r="JO35" s="48"/>
      <c r="JP35" s="48"/>
      <c r="JQ35" s="48"/>
      <c r="JR35" s="48"/>
      <c r="JS35" s="48"/>
      <c r="JT35" s="48"/>
      <c r="JV35" s="48" t="s">
        <v>26</v>
      </c>
      <c r="JW35" s="48"/>
      <c r="JX35" s="48"/>
      <c r="JY35" s="48"/>
      <c r="JZ35" s="48"/>
      <c r="KA35" s="48"/>
      <c r="KB35" s="48"/>
      <c r="KC35" s="32"/>
      <c r="KD35" s="48" t="s">
        <v>27</v>
      </c>
      <c r="KE35" s="48"/>
      <c r="KF35" s="48"/>
      <c r="KG35" s="48"/>
      <c r="KH35" s="48"/>
      <c r="KI35" s="48"/>
      <c r="KJ35" s="48"/>
      <c r="KK35" s="48"/>
      <c r="KL35" s="48" t="s">
        <v>26</v>
      </c>
      <c r="KM35" s="48"/>
      <c r="KN35" s="48"/>
      <c r="KO35" s="48"/>
      <c r="KP35" s="48"/>
      <c r="KQ35" s="48"/>
      <c r="KR35" s="48"/>
      <c r="KS35" s="32"/>
      <c r="KT35" s="48" t="s">
        <v>27</v>
      </c>
      <c r="KU35" s="48"/>
      <c r="KV35" s="48"/>
      <c r="KW35" s="48"/>
      <c r="KX35" s="48"/>
      <c r="KY35" s="48"/>
      <c r="KZ35" s="48"/>
      <c r="LA35" s="48"/>
      <c r="LC35" s="48" t="s">
        <v>26</v>
      </c>
      <c r="LD35" s="48"/>
      <c r="LE35" s="48"/>
      <c r="LF35" s="48"/>
      <c r="LG35" s="48"/>
      <c r="LH35" s="48"/>
      <c r="LI35" s="48"/>
      <c r="LJ35" s="32"/>
      <c r="LK35" s="48" t="s">
        <v>27</v>
      </c>
      <c r="LL35" s="48"/>
      <c r="LM35" s="48"/>
      <c r="LN35" s="48"/>
      <c r="LO35" s="48"/>
      <c r="LP35" s="48"/>
      <c r="LQ35" s="48"/>
      <c r="LR35" s="48"/>
    </row>
    <row r="36" spans="1:330" ht="10.8" customHeight="1" thickTop="1" x14ac:dyDescent="0.3"/>
    <row r="37" spans="1:330" ht="15.6" x14ac:dyDescent="0.3">
      <c r="B37" s="49" t="s">
        <v>28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S37" s="49" t="s">
        <v>28</v>
      </c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I37" s="49" t="s">
        <v>28</v>
      </c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Z37" s="49" t="s">
        <v>28</v>
      </c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P37" s="49" t="s">
        <v>28</v>
      </c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G37" s="49" t="s">
        <v>28</v>
      </c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W37" s="49" t="s">
        <v>28</v>
      </c>
      <c r="CX37" s="49"/>
      <c r="CY37" s="49"/>
      <c r="CZ37" s="49"/>
      <c r="DA37" s="49"/>
      <c r="DB37" s="49"/>
      <c r="DC37" s="49"/>
      <c r="DD37" s="49"/>
      <c r="DE37" s="49"/>
      <c r="DF37" s="49"/>
      <c r="DG37" s="49"/>
      <c r="DH37" s="49"/>
      <c r="DI37" s="49"/>
      <c r="DJ37" s="49"/>
      <c r="DK37" s="49"/>
      <c r="DN37" s="49" t="s">
        <v>28</v>
      </c>
      <c r="DO37" s="49"/>
      <c r="DP37" s="49"/>
      <c r="DQ37" s="49"/>
      <c r="DR37" s="49"/>
      <c r="DS37" s="49"/>
      <c r="DT37" s="49"/>
      <c r="DU37" s="49"/>
      <c r="DV37" s="49"/>
      <c r="DW37" s="49"/>
      <c r="DX37" s="49"/>
      <c r="DY37" s="49"/>
      <c r="DZ37" s="49"/>
      <c r="EA37" s="49"/>
      <c r="EB37" s="49"/>
      <c r="ED37" s="49" t="s">
        <v>28</v>
      </c>
      <c r="EE37" s="49"/>
      <c r="EF37" s="49"/>
      <c r="EG37" s="49"/>
      <c r="EH37" s="49"/>
      <c r="EI37" s="49"/>
      <c r="EJ37" s="49"/>
      <c r="EK37" s="49"/>
      <c r="EL37" s="49"/>
      <c r="EM37" s="49"/>
      <c r="EN37" s="49"/>
      <c r="EO37" s="49"/>
      <c r="EP37" s="49"/>
      <c r="EQ37" s="49"/>
      <c r="ER37" s="49"/>
      <c r="EU37" s="49" t="s">
        <v>28</v>
      </c>
      <c r="EV37" s="49"/>
      <c r="EW37" s="49"/>
      <c r="EX37" s="49"/>
      <c r="EY37" s="49"/>
      <c r="EZ37" s="49"/>
      <c r="FA37" s="49"/>
      <c r="FB37" s="49"/>
      <c r="FC37" s="49"/>
      <c r="FD37" s="49"/>
      <c r="FE37" s="49"/>
      <c r="FF37" s="49"/>
      <c r="FG37" s="49"/>
      <c r="FH37" s="49"/>
      <c r="FI37" s="49"/>
      <c r="FK37" s="49" t="s">
        <v>28</v>
      </c>
      <c r="FL37" s="49"/>
      <c r="FM37" s="49"/>
      <c r="FN37" s="49"/>
      <c r="FO37" s="49"/>
      <c r="FP37" s="49"/>
      <c r="FQ37" s="49"/>
      <c r="FR37" s="49"/>
      <c r="FS37" s="49"/>
      <c r="FT37" s="49"/>
      <c r="FU37" s="49"/>
      <c r="FV37" s="49"/>
      <c r="FW37" s="49"/>
      <c r="FX37" s="49"/>
      <c r="FY37" s="49"/>
      <c r="GB37" s="49" t="s">
        <v>28</v>
      </c>
      <c r="GC37" s="49"/>
      <c r="GD37" s="49"/>
      <c r="GE37" s="49"/>
      <c r="GF37" s="49"/>
      <c r="GG37" s="49"/>
      <c r="GH37" s="49"/>
      <c r="GI37" s="49"/>
      <c r="GJ37" s="49"/>
      <c r="GK37" s="49"/>
      <c r="GL37" s="49"/>
      <c r="GM37" s="49"/>
      <c r="GN37" s="49"/>
      <c r="GO37" s="49"/>
      <c r="GP37" s="49"/>
      <c r="GR37" s="49" t="s">
        <v>28</v>
      </c>
      <c r="GS37" s="49"/>
      <c r="GT37" s="49"/>
      <c r="GU37" s="49"/>
      <c r="GV37" s="49"/>
      <c r="GW37" s="49"/>
      <c r="GX37" s="49"/>
      <c r="GY37" s="49"/>
      <c r="GZ37" s="49"/>
      <c r="HA37" s="49"/>
      <c r="HB37" s="49"/>
      <c r="HC37" s="49"/>
      <c r="HD37" s="49"/>
      <c r="HE37" s="49"/>
      <c r="HF37" s="49"/>
      <c r="HI37" s="49" t="s">
        <v>28</v>
      </c>
      <c r="HJ37" s="49"/>
      <c r="HK37" s="49"/>
      <c r="HL37" s="49"/>
      <c r="HM37" s="49"/>
      <c r="HN37" s="49"/>
      <c r="HO37" s="49"/>
      <c r="HP37" s="49"/>
      <c r="HQ37" s="49"/>
      <c r="HR37" s="49"/>
      <c r="HS37" s="49"/>
      <c r="HT37" s="49"/>
      <c r="HU37" s="49"/>
      <c r="HV37" s="49"/>
      <c r="HW37" s="49"/>
      <c r="HY37" s="49" t="s">
        <v>28</v>
      </c>
      <c r="HZ37" s="49"/>
      <c r="IA37" s="49"/>
      <c r="IB37" s="49"/>
      <c r="IC37" s="49"/>
      <c r="ID37" s="49"/>
      <c r="IE37" s="49"/>
      <c r="IF37" s="49"/>
      <c r="IG37" s="49"/>
      <c r="IH37" s="49"/>
      <c r="II37" s="49"/>
      <c r="IJ37" s="49"/>
      <c r="IK37" s="49"/>
      <c r="IL37" s="49"/>
      <c r="IM37" s="49"/>
      <c r="IP37" s="49" t="s">
        <v>28</v>
      </c>
      <c r="IQ37" s="49"/>
      <c r="IR37" s="49"/>
      <c r="IS37" s="49"/>
      <c r="IT37" s="49"/>
      <c r="IU37" s="49"/>
      <c r="IV37" s="49"/>
      <c r="IW37" s="49"/>
      <c r="IX37" s="49"/>
      <c r="IY37" s="49"/>
      <c r="IZ37" s="49"/>
      <c r="JA37" s="49"/>
      <c r="JB37" s="49"/>
      <c r="JC37" s="49"/>
      <c r="JD37" s="49"/>
      <c r="JF37" s="49" t="s">
        <v>28</v>
      </c>
      <c r="JG37" s="49"/>
      <c r="JH37" s="49"/>
      <c r="JI37" s="49"/>
      <c r="JJ37" s="49"/>
      <c r="JK37" s="49"/>
      <c r="JL37" s="49"/>
      <c r="JM37" s="49"/>
      <c r="JN37" s="49"/>
      <c r="JO37" s="49"/>
      <c r="JP37" s="49"/>
      <c r="JQ37" s="49"/>
      <c r="JR37" s="49"/>
      <c r="JS37" s="49"/>
      <c r="JT37" s="49"/>
      <c r="JW37" s="49" t="s">
        <v>28</v>
      </c>
      <c r="JX37" s="49"/>
      <c r="JY37" s="49"/>
      <c r="JZ37" s="49"/>
      <c r="KA37" s="49"/>
      <c r="KB37" s="49"/>
      <c r="KC37" s="49"/>
      <c r="KD37" s="49"/>
      <c r="KE37" s="49"/>
      <c r="KF37" s="49"/>
      <c r="KG37" s="49"/>
      <c r="KH37" s="49"/>
      <c r="KI37" s="49"/>
      <c r="KJ37" s="49"/>
      <c r="KK37" s="49"/>
      <c r="KM37" s="49" t="s">
        <v>28</v>
      </c>
      <c r="KN37" s="49"/>
      <c r="KO37" s="49"/>
      <c r="KP37" s="49"/>
      <c r="KQ37" s="49"/>
      <c r="KR37" s="49"/>
      <c r="KS37" s="49"/>
      <c r="KT37" s="49"/>
      <c r="KU37" s="49"/>
      <c r="KV37" s="49"/>
      <c r="KW37" s="49"/>
      <c r="KX37" s="49"/>
      <c r="KY37" s="49"/>
      <c r="KZ37" s="49"/>
      <c r="LA37" s="49"/>
      <c r="LD37" s="49" t="s">
        <v>28</v>
      </c>
      <c r="LE37" s="49"/>
      <c r="LF37" s="49"/>
      <c r="LG37" s="49"/>
      <c r="LH37" s="49"/>
      <c r="LI37" s="49"/>
      <c r="LJ37" s="49"/>
      <c r="LK37" s="49"/>
      <c r="LL37" s="49"/>
      <c r="LM37" s="49"/>
      <c r="LN37" s="49"/>
      <c r="LO37" s="49"/>
      <c r="LP37" s="49"/>
      <c r="LQ37" s="49"/>
      <c r="LR37" s="49"/>
    </row>
    <row r="38" spans="1:330" ht="12" customHeight="1" x14ac:dyDescent="0.3">
      <c r="A38" s="33" t="s">
        <v>29</v>
      </c>
      <c r="B38" s="34"/>
      <c r="C38" s="34"/>
      <c r="D38" s="34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R38" s="33" t="s">
        <v>29</v>
      </c>
      <c r="S38" s="34"/>
      <c r="T38" s="34"/>
      <c r="U38" s="34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H38" s="33" t="s">
        <v>29</v>
      </c>
      <c r="AI38" s="34"/>
      <c r="AJ38" s="34"/>
      <c r="AK38" s="34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Y38" s="33" t="s">
        <v>29</v>
      </c>
      <c r="AZ38" s="34"/>
      <c r="BA38" s="34"/>
      <c r="BB38" s="34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O38" s="33" t="s">
        <v>29</v>
      </c>
      <c r="BP38" s="34"/>
      <c r="BQ38" s="34"/>
      <c r="BR38" s="34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F38" s="33" t="s">
        <v>29</v>
      </c>
      <c r="CG38" s="34"/>
      <c r="CH38" s="34"/>
      <c r="CI38" s="34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V38" s="33" t="s">
        <v>29</v>
      </c>
      <c r="CW38" s="34"/>
      <c r="CX38" s="34"/>
      <c r="CY38" s="34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M38" s="33" t="s">
        <v>29</v>
      </c>
      <c r="DN38" s="34"/>
      <c r="DO38" s="34"/>
      <c r="DP38" s="34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C38" s="33" t="s">
        <v>29</v>
      </c>
      <c r="ED38" s="34"/>
      <c r="EE38" s="34"/>
      <c r="EF38" s="34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T38" s="33" t="s">
        <v>29</v>
      </c>
      <c r="EU38" s="34"/>
      <c r="EV38" s="34"/>
      <c r="EW38" s="34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J38" s="33" t="s">
        <v>29</v>
      </c>
      <c r="FK38" s="34"/>
      <c r="FL38" s="34"/>
      <c r="FM38" s="34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GA38" s="33" t="s">
        <v>29</v>
      </c>
      <c r="GB38" s="34"/>
      <c r="GC38" s="34"/>
      <c r="GD38" s="34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Q38" s="33" t="s">
        <v>29</v>
      </c>
      <c r="GR38" s="34"/>
      <c r="GS38" s="34"/>
      <c r="GT38" s="34"/>
      <c r="GU38" s="35"/>
      <c r="GV38" s="35"/>
      <c r="GW38" s="35"/>
      <c r="GX38" s="35"/>
      <c r="GY38" s="35"/>
      <c r="GZ38" s="35"/>
      <c r="HA38" s="35"/>
      <c r="HB38" s="35"/>
      <c r="HC38" s="35"/>
      <c r="HD38" s="35"/>
      <c r="HE38" s="35"/>
      <c r="HH38" s="33" t="s">
        <v>29</v>
      </c>
      <c r="HI38" s="34"/>
      <c r="HJ38" s="34"/>
      <c r="HK38" s="34"/>
      <c r="HL38" s="35"/>
      <c r="HM38" s="35"/>
      <c r="HN38" s="35"/>
      <c r="HO38" s="35"/>
      <c r="HP38" s="35"/>
      <c r="HQ38" s="35"/>
      <c r="HR38" s="35"/>
      <c r="HS38" s="35"/>
      <c r="HT38" s="35"/>
      <c r="HU38" s="35"/>
      <c r="HV38" s="35"/>
      <c r="HX38" s="33" t="s">
        <v>29</v>
      </c>
      <c r="HY38" s="34"/>
      <c r="HZ38" s="34"/>
      <c r="IA38" s="34"/>
      <c r="IB38" s="35"/>
      <c r="IC38" s="35"/>
      <c r="ID38" s="35"/>
      <c r="IE38" s="35"/>
      <c r="IF38" s="35"/>
      <c r="IG38" s="35"/>
      <c r="IH38" s="35"/>
      <c r="II38" s="35"/>
      <c r="IJ38" s="35"/>
      <c r="IK38" s="35"/>
      <c r="IL38" s="35"/>
      <c r="IO38" s="33" t="s">
        <v>29</v>
      </c>
      <c r="IP38" s="34"/>
      <c r="IQ38" s="34"/>
      <c r="IR38" s="34"/>
      <c r="IS38" s="35"/>
      <c r="IT38" s="35"/>
      <c r="IU38" s="35"/>
      <c r="IV38" s="35"/>
      <c r="IW38" s="35"/>
      <c r="IX38" s="35"/>
      <c r="IY38" s="35"/>
      <c r="IZ38" s="35"/>
      <c r="JA38" s="35"/>
      <c r="JB38" s="35"/>
      <c r="JC38" s="35"/>
      <c r="JE38" s="33" t="s">
        <v>29</v>
      </c>
      <c r="JF38" s="34"/>
      <c r="JG38" s="34"/>
      <c r="JH38" s="34"/>
      <c r="JI38" s="35"/>
      <c r="JJ38" s="35"/>
      <c r="JK38" s="35"/>
      <c r="JL38" s="35"/>
      <c r="JM38" s="35"/>
      <c r="JN38" s="35"/>
      <c r="JO38" s="35"/>
      <c r="JP38" s="35"/>
      <c r="JQ38" s="35"/>
      <c r="JR38" s="35"/>
      <c r="JS38" s="35"/>
      <c r="JV38" s="33" t="s">
        <v>29</v>
      </c>
      <c r="JW38" s="34"/>
      <c r="JX38" s="34"/>
      <c r="JY38" s="34"/>
      <c r="JZ38" s="35"/>
      <c r="KA38" s="35"/>
      <c r="KB38" s="35"/>
      <c r="KC38" s="35"/>
      <c r="KD38" s="35"/>
      <c r="KE38" s="35"/>
      <c r="KF38" s="35"/>
      <c r="KG38" s="35"/>
      <c r="KH38" s="35"/>
      <c r="KI38" s="35"/>
      <c r="KJ38" s="35"/>
      <c r="KL38" s="33" t="s">
        <v>29</v>
      </c>
      <c r="KM38" s="34"/>
      <c r="KN38" s="34"/>
      <c r="KO38" s="34"/>
      <c r="KP38" s="35"/>
      <c r="KQ38" s="35"/>
      <c r="KR38" s="35"/>
      <c r="KS38" s="35"/>
      <c r="KT38" s="35"/>
      <c r="KU38" s="35"/>
      <c r="KV38" s="35"/>
      <c r="KW38" s="35"/>
      <c r="KX38" s="35"/>
      <c r="KY38" s="35"/>
      <c r="KZ38" s="35"/>
      <c r="LC38" s="33" t="s">
        <v>29</v>
      </c>
      <c r="LD38" s="34"/>
      <c r="LE38" s="34"/>
      <c r="LF38" s="34"/>
      <c r="LG38" s="35"/>
      <c r="LH38" s="35"/>
      <c r="LI38" s="35"/>
      <c r="LJ38" s="35"/>
      <c r="LK38" s="35"/>
      <c r="LL38" s="35"/>
      <c r="LM38" s="35"/>
      <c r="LN38" s="35"/>
      <c r="LO38" s="35"/>
      <c r="LP38" s="35"/>
      <c r="LQ38" s="35"/>
    </row>
    <row r="39" spans="1:330" x14ac:dyDescent="0.3">
      <c r="A39" s="9" t="s">
        <v>30</v>
      </c>
      <c r="B39" s="50"/>
      <c r="C39" s="50"/>
      <c r="D39" s="50"/>
      <c r="E39" s="50"/>
      <c r="F39" s="50"/>
      <c r="G39" s="50"/>
      <c r="H39" s="4"/>
      <c r="I39" s="4"/>
      <c r="J39" s="4"/>
      <c r="K39" s="4"/>
      <c r="L39" s="4"/>
      <c r="M39" s="4"/>
      <c r="N39" s="4"/>
      <c r="O39" s="4"/>
      <c r="P39" s="4"/>
      <c r="R39" s="9" t="s">
        <v>30</v>
      </c>
      <c r="S39" s="50"/>
      <c r="T39" s="50"/>
      <c r="U39" s="50"/>
      <c r="V39" s="50"/>
      <c r="W39" s="50"/>
      <c r="X39" s="50"/>
      <c r="Y39" s="4"/>
      <c r="Z39" s="4"/>
      <c r="AA39" s="4"/>
      <c r="AB39" s="4"/>
      <c r="AC39" s="4"/>
      <c r="AD39" s="4"/>
      <c r="AE39" s="4"/>
      <c r="AF39" s="4"/>
      <c r="AG39" s="4"/>
      <c r="AH39" s="9" t="s">
        <v>30</v>
      </c>
      <c r="AI39" s="50"/>
      <c r="AJ39" s="50"/>
      <c r="AK39" s="50"/>
      <c r="AL39" s="50"/>
      <c r="AM39" s="50"/>
      <c r="AN39" s="50"/>
      <c r="AO39" s="4"/>
      <c r="AP39" s="4"/>
      <c r="AQ39" s="4"/>
      <c r="AR39" s="4"/>
      <c r="AS39" s="4"/>
      <c r="AT39" s="4"/>
      <c r="AU39" s="4"/>
      <c r="AV39" s="4"/>
      <c r="AW39" s="4"/>
      <c r="AY39" s="9" t="s">
        <v>30</v>
      </c>
      <c r="AZ39" s="50"/>
      <c r="BA39" s="50"/>
      <c r="BB39" s="50"/>
      <c r="BC39" s="50"/>
      <c r="BD39" s="50"/>
      <c r="BE39" s="50"/>
      <c r="BF39" s="4"/>
      <c r="BG39" s="4"/>
      <c r="BH39" s="4"/>
      <c r="BI39" s="4"/>
      <c r="BJ39" s="4"/>
      <c r="BK39" s="4"/>
      <c r="BL39" s="4"/>
      <c r="BM39" s="4"/>
      <c r="BN39" s="4"/>
      <c r="BO39" s="9" t="s">
        <v>30</v>
      </c>
      <c r="BP39" s="50"/>
      <c r="BQ39" s="50"/>
      <c r="BR39" s="50"/>
      <c r="BS39" s="50"/>
      <c r="BT39" s="50"/>
      <c r="BU39" s="50"/>
      <c r="BV39" s="4"/>
      <c r="BW39" s="4"/>
      <c r="BX39" s="4"/>
      <c r="BY39" s="4"/>
      <c r="BZ39" s="4"/>
      <c r="CA39" s="4"/>
      <c r="CB39" s="4"/>
      <c r="CC39" s="4"/>
      <c r="CD39" s="4"/>
      <c r="CF39" s="9" t="s">
        <v>30</v>
      </c>
      <c r="CG39" s="50"/>
      <c r="CH39" s="50"/>
      <c r="CI39" s="50"/>
      <c r="CJ39" s="50"/>
      <c r="CK39" s="50"/>
      <c r="CL39" s="50"/>
      <c r="CM39" s="4"/>
      <c r="CN39" s="4"/>
      <c r="CO39" s="4"/>
      <c r="CP39" s="4"/>
      <c r="CQ39" s="4"/>
      <c r="CR39" s="4"/>
      <c r="CS39" s="4"/>
      <c r="CT39" s="4"/>
      <c r="CU39" s="4"/>
      <c r="CV39" s="9" t="s">
        <v>30</v>
      </c>
      <c r="CW39" s="50"/>
      <c r="CX39" s="50"/>
      <c r="CY39" s="50"/>
      <c r="CZ39" s="50"/>
      <c r="DA39" s="50"/>
      <c r="DB39" s="50"/>
      <c r="DC39" s="4"/>
      <c r="DD39" s="4"/>
      <c r="DE39" s="4"/>
      <c r="DF39" s="4"/>
      <c r="DG39" s="4"/>
      <c r="DH39" s="4"/>
      <c r="DI39" s="4"/>
      <c r="DJ39" s="4"/>
      <c r="DK39" s="4"/>
      <c r="DM39" s="9" t="s">
        <v>30</v>
      </c>
      <c r="DN39" s="50"/>
      <c r="DO39" s="50"/>
      <c r="DP39" s="50"/>
      <c r="DQ39" s="50"/>
      <c r="DR39" s="50"/>
      <c r="DS39" s="50"/>
      <c r="DT39" s="4"/>
      <c r="DU39" s="4"/>
      <c r="DV39" s="4"/>
      <c r="DW39" s="4"/>
      <c r="DX39" s="4"/>
      <c r="DY39" s="4"/>
      <c r="DZ39" s="4"/>
      <c r="EA39" s="4"/>
      <c r="EB39" s="4"/>
      <c r="EC39" s="9" t="s">
        <v>30</v>
      </c>
      <c r="ED39" s="50"/>
      <c r="EE39" s="50"/>
      <c r="EF39" s="50"/>
      <c r="EG39" s="50"/>
      <c r="EH39" s="50"/>
      <c r="EI39" s="50"/>
      <c r="EJ39" s="4"/>
      <c r="EK39" s="4"/>
      <c r="EL39" s="4"/>
      <c r="EM39" s="4"/>
      <c r="EN39" s="4"/>
      <c r="EO39" s="4"/>
      <c r="EP39" s="4"/>
      <c r="EQ39" s="4"/>
      <c r="ER39" s="4"/>
      <c r="ET39" s="9" t="s">
        <v>30</v>
      </c>
      <c r="EU39" s="50"/>
      <c r="EV39" s="50"/>
      <c r="EW39" s="50"/>
      <c r="EX39" s="50"/>
      <c r="EY39" s="50"/>
      <c r="EZ39" s="50"/>
      <c r="FA39" s="4"/>
      <c r="FB39" s="4"/>
      <c r="FC39" s="4"/>
      <c r="FD39" s="4"/>
      <c r="FE39" s="4"/>
      <c r="FF39" s="4"/>
      <c r="FG39" s="4"/>
      <c r="FH39" s="4"/>
      <c r="FI39" s="4"/>
      <c r="FJ39" s="9" t="s">
        <v>30</v>
      </c>
      <c r="FK39" s="50"/>
      <c r="FL39" s="50"/>
      <c r="FM39" s="50"/>
      <c r="FN39" s="50"/>
      <c r="FO39" s="50"/>
      <c r="FP39" s="50"/>
      <c r="FQ39" s="4"/>
      <c r="FR39" s="4"/>
      <c r="FS39" s="4"/>
      <c r="FT39" s="4"/>
      <c r="FU39" s="4"/>
      <c r="FV39" s="4"/>
      <c r="FW39" s="4"/>
      <c r="FX39" s="4"/>
      <c r="FY39" s="4"/>
      <c r="GA39" s="9" t="s">
        <v>30</v>
      </c>
      <c r="GB39" s="50"/>
      <c r="GC39" s="50"/>
      <c r="GD39" s="50"/>
      <c r="GE39" s="50"/>
      <c r="GF39" s="50"/>
      <c r="GG39" s="50"/>
      <c r="GH39" s="4"/>
      <c r="GI39" s="4"/>
      <c r="GJ39" s="4"/>
      <c r="GK39" s="4"/>
      <c r="GL39" s="4"/>
      <c r="GM39" s="4"/>
      <c r="GN39" s="4"/>
      <c r="GO39" s="4"/>
      <c r="GP39" s="4"/>
      <c r="GQ39" s="9" t="s">
        <v>30</v>
      </c>
      <c r="GR39" s="50"/>
      <c r="GS39" s="50"/>
      <c r="GT39" s="50"/>
      <c r="GU39" s="50"/>
      <c r="GV39" s="50"/>
      <c r="GW39" s="50"/>
      <c r="GX39" s="4"/>
      <c r="GY39" s="4"/>
      <c r="GZ39" s="4"/>
      <c r="HA39" s="4"/>
      <c r="HB39" s="4"/>
      <c r="HC39" s="4"/>
      <c r="HD39" s="4"/>
      <c r="HE39" s="4"/>
      <c r="HF39" s="4"/>
      <c r="HH39" s="9" t="s">
        <v>30</v>
      </c>
      <c r="HI39" s="50"/>
      <c r="HJ39" s="50"/>
      <c r="HK39" s="50"/>
      <c r="HL39" s="50"/>
      <c r="HM39" s="50"/>
      <c r="HN39" s="50"/>
      <c r="HO39" s="4"/>
      <c r="HP39" s="4"/>
      <c r="HQ39" s="4"/>
      <c r="HR39" s="4"/>
      <c r="HS39" s="4"/>
      <c r="HT39" s="4"/>
      <c r="HU39" s="4"/>
      <c r="HV39" s="4"/>
      <c r="HW39" s="4"/>
      <c r="HX39" s="9" t="s">
        <v>30</v>
      </c>
      <c r="HY39" s="50"/>
      <c r="HZ39" s="50"/>
      <c r="IA39" s="50"/>
      <c r="IB39" s="50"/>
      <c r="IC39" s="50"/>
      <c r="ID39" s="50"/>
      <c r="IE39" s="4"/>
      <c r="IF39" s="4"/>
      <c r="IG39" s="4"/>
      <c r="IH39" s="4"/>
      <c r="II39" s="4"/>
      <c r="IJ39" s="4"/>
      <c r="IK39" s="4"/>
      <c r="IL39" s="4"/>
      <c r="IM39" s="4"/>
      <c r="IO39" s="9" t="s">
        <v>30</v>
      </c>
      <c r="IP39" s="50"/>
      <c r="IQ39" s="50"/>
      <c r="IR39" s="50"/>
      <c r="IS39" s="50"/>
      <c r="IT39" s="50"/>
      <c r="IU39" s="50"/>
      <c r="IV39" s="4"/>
      <c r="IW39" s="4"/>
      <c r="IX39" s="4"/>
      <c r="IY39" s="4"/>
      <c r="IZ39" s="4"/>
      <c r="JA39" s="4"/>
      <c r="JB39" s="4"/>
      <c r="JC39" s="4"/>
      <c r="JD39" s="4"/>
      <c r="JE39" s="9" t="s">
        <v>30</v>
      </c>
      <c r="JF39" s="50"/>
      <c r="JG39" s="50"/>
      <c r="JH39" s="50"/>
      <c r="JI39" s="50"/>
      <c r="JJ39" s="50"/>
      <c r="JK39" s="50"/>
      <c r="JL39" s="4"/>
      <c r="JM39" s="4"/>
      <c r="JN39" s="4"/>
      <c r="JO39" s="4"/>
      <c r="JP39" s="4"/>
      <c r="JQ39" s="4"/>
      <c r="JR39" s="4"/>
      <c r="JS39" s="4"/>
      <c r="JT39" s="4"/>
      <c r="JV39" s="9" t="s">
        <v>30</v>
      </c>
      <c r="JW39" s="50"/>
      <c r="JX39" s="50"/>
      <c r="JY39" s="50"/>
      <c r="JZ39" s="50"/>
      <c r="KA39" s="50"/>
      <c r="KB39" s="50"/>
      <c r="KC39" s="4"/>
      <c r="KD39" s="4"/>
      <c r="KE39" s="4"/>
      <c r="KF39" s="4"/>
      <c r="KG39" s="4"/>
      <c r="KH39" s="4"/>
      <c r="KI39" s="4"/>
      <c r="KJ39" s="4"/>
      <c r="KK39" s="4"/>
      <c r="KL39" s="9" t="s">
        <v>30</v>
      </c>
      <c r="KM39" s="50"/>
      <c r="KN39" s="50"/>
      <c r="KO39" s="50"/>
      <c r="KP39" s="50"/>
      <c r="KQ39" s="50"/>
      <c r="KR39" s="50"/>
      <c r="KS39" s="4"/>
      <c r="KT39" s="4"/>
      <c r="KU39" s="4"/>
      <c r="KV39" s="4"/>
      <c r="KW39" s="4"/>
      <c r="KX39" s="4"/>
      <c r="KY39" s="4"/>
      <c r="KZ39" s="4"/>
      <c r="LA39" s="4"/>
      <c r="LC39" s="9" t="s">
        <v>30</v>
      </c>
      <c r="LD39" s="50"/>
      <c r="LE39" s="50"/>
      <c r="LF39" s="50"/>
      <c r="LG39" s="50"/>
      <c r="LH39" s="50"/>
      <c r="LI39" s="50"/>
      <c r="LJ39" s="4"/>
      <c r="LK39" s="4"/>
      <c r="LL39" s="4"/>
      <c r="LM39" s="4"/>
      <c r="LN39" s="4"/>
      <c r="LO39" s="4"/>
      <c r="LP39" s="4"/>
      <c r="LQ39" s="4"/>
      <c r="LR39" s="4"/>
    </row>
    <row r="40" spans="1:330" x14ac:dyDescent="0.3">
      <c r="H40" s="9"/>
      <c r="I40" s="51" t="str">
        <f>$I$34</f>
        <v>MARION RODRIGO D. MARIÑAS III</v>
      </c>
      <c r="J40" s="51"/>
      <c r="K40" s="51"/>
      <c r="L40" s="51"/>
      <c r="M40" s="51"/>
      <c r="N40" s="51"/>
      <c r="O40" s="51"/>
      <c r="P40" s="51"/>
      <c r="Y40" s="9"/>
      <c r="Z40" s="51" t="str">
        <f>$I$34</f>
        <v>MARION RODRIGO D. MARIÑAS III</v>
      </c>
      <c r="AA40" s="51"/>
      <c r="AB40" s="51"/>
      <c r="AC40" s="51"/>
      <c r="AD40" s="51"/>
      <c r="AE40" s="51"/>
      <c r="AF40" s="51"/>
      <c r="AG40" s="51"/>
      <c r="AO40" s="9"/>
      <c r="AP40" s="51" t="str">
        <f>$I$34</f>
        <v>MARION RODRIGO D. MARIÑAS III</v>
      </c>
      <c r="AQ40" s="51"/>
      <c r="AR40" s="51"/>
      <c r="AS40" s="51"/>
      <c r="AT40" s="51"/>
      <c r="AU40" s="51"/>
      <c r="AV40" s="51"/>
      <c r="AW40" s="51"/>
      <c r="BF40" s="9"/>
      <c r="BG40" s="51" t="str">
        <f>$I$34</f>
        <v>MARION RODRIGO D. MARIÑAS III</v>
      </c>
      <c r="BH40" s="51"/>
      <c r="BI40" s="51"/>
      <c r="BJ40" s="51"/>
      <c r="BK40" s="51"/>
      <c r="BL40" s="51"/>
      <c r="BM40" s="51"/>
      <c r="BN40" s="51"/>
      <c r="BV40" s="9"/>
      <c r="BW40" s="51" t="str">
        <f>$I$34</f>
        <v>MARION RODRIGO D. MARIÑAS III</v>
      </c>
      <c r="BX40" s="51"/>
      <c r="BY40" s="51"/>
      <c r="BZ40" s="51"/>
      <c r="CA40" s="51"/>
      <c r="CB40" s="51"/>
      <c r="CC40" s="51"/>
      <c r="CD40" s="51"/>
      <c r="CM40" s="9"/>
      <c r="CN40" s="51" t="str">
        <f>$I$34</f>
        <v>MARION RODRIGO D. MARIÑAS III</v>
      </c>
      <c r="CO40" s="51"/>
      <c r="CP40" s="51"/>
      <c r="CQ40" s="51"/>
      <c r="CR40" s="51"/>
      <c r="CS40" s="51"/>
      <c r="CT40" s="51"/>
      <c r="CU40" s="51"/>
      <c r="DC40" s="9"/>
      <c r="DD40" s="51" t="str">
        <f>$I$34</f>
        <v>MARION RODRIGO D. MARIÑAS III</v>
      </c>
      <c r="DE40" s="51"/>
      <c r="DF40" s="51"/>
      <c r="DG40" s="51"/>
      <c r="DH40" s="51"/>
      <c r="DI40" s="51"/>
      <c r="DJ40" s="51"/>
      <c r="DK40" s="51"/>
      <c r="DT40" s="9"/>
      <c r="DU40" s="51" t="str">
        <f>$I$34</f>
        <v>MARION RODRIGO D. MARIÑAS III</v>
      </c>
      <c r="DV40" s="51"/>
      <c r="DW40" s="51"/>
      <c r="DX40" s="51"/>
      <c r="DY40" s="51"/>
      <c r="DZ40" s="51"/>
      <c r="EA40" s="51"/>
      <c r="EB40" s="51"/>
      <c r="EJ40" s="9"/>
      <c r="EK40" s="51" t="str">
        <f>$I$34</f>
        <v>MARION RODRIGO D. MARIÑAS III</v>
      </c>
      <c r="EL40" s="51"/>
      <c r="EM40" s="51"/>
      <c r="EN40" s="51"/>
      <c r="EO40" s="51"/>
      <c r="EP40" s="51"/>
      <c r="EQ40" s="51"/>
      <c r="ER40" s="51"/>
      <c r="FA40" s="9"/>
      <c r="FB40" s="51" t="str">
        <f>$I$34</f>
        <v>MARION RODRIGO D. MARIÑAS III</v>
      </c>
      <c r="FC40" s="51"/>
      <c r="FD40" s="51"/>
      <c r="FE40" s="51"/>
      <c r="FF40" s="51"/>
      <c r="FG40" s="51"/>
      <c r="FH40" s="51"/>
      <c r="FI40" s="51"/>
      <c r="FQ40" s="9"/>
      <c r="FR40" s="51" t="str">
        <f>$I$34</f>
        <v>MARION RODRIGO D. MARIÑAS III</v>
      </c>
      <c r="FS40" s="51"/>
      <c r="FT40" s="51"/>
      <c r="FU40" s="51"/>
      <c r="FV40" s="51"/>
      <c r="FW40" s="51"/>
      <c r="FX40" s="51"/>
      <c r="FY40" s="51"/>
      <c r="GH40" s="9"/>
      <c r="GI40" s="51" t="str">
        <f>$I$34</f>
        <v>MARION RODRIGO D. MARIÑAS III</v>
      </c>
      <c r="GJ40" s="51"/>
      <c r="GK40" s="51"/>
      <c r="GL40" s="51"/>
      <c r="GM40" s="51"/>
      <c r="GN40" s="51"/>
      <c r="GO40" s="51"/>
      <c r="GP40" s="51"/>
      <c r="GX40" s="9"/>
      <c r="GY40" s="51" t="str">
        <f>$I$34</f>
        <v>MARION RODRIGO D. MARIÑAS III</v>
      </c>
      <c r="GZ40" s="51"/>
      <c r="HA40" s="51"/>
      <c r="HB40" s="51"/>
      <c r="HC40" s="51"/>
      <c r="HD40" s="51"/>
      <c r="HE40" s="51"/>
      <c r="HF40" s="51"/>
      <c r="HO40" s="9"/>
      <c r="HP40" s="51" t="str">
        <f>$I$34</f>
        <v>MARION RODRIGO D. MARIÑAS III</v>
      </c>
      <c r="HQ40" s="51"/>
      <c r="HR40" s="51"/>
      <c r="HS40" s="51"/>
      <c r="HT40" s="51"/>
      <c r="HU40" s="51"/>
      <c r="HV40" s="51"/>
      <c r="HW40" s="51"/>
      <c r="IE40" s="9"/>
      <c r="IF40" s="51" t="str">
        <f>$I$34</f>
        <v>MARION RODRIGO D. MARIÑAS III</v>
      </c>
      <c r="IG40" s="51"/>
      <c r="IH40" s="51"/>
      <c r="II40" s="51"/>
      <c r="IJ40" s="51"/>
      <c r="IK40" s="51"/>
      <c r="IL40" s="51"/>
      <c r="IM40" s="51"/>
      <c r="IV40" s="9"/>
      <c r="IW40" s="51" t="str">
        <f>$I$34</f>
        <v>MARION RODRIGO D. MARIÑAS III</v>
      </c>
      <c r="IX40" s="51"/>
      <c r="IY40" s="51"/>
      <c r="IZ40" s="51"/>
      <c r="JA40" s="51"/>
      <c r="JB40" s="51"/>
      <c r="JC40" s="51"/>
      <c r="JD40" s="51"/>
      <c r="JL40" s="9"/>
      <c r="JM40" s="51" t="str">
        <f>$I$34</f>
        <v>MARION RODRIGO D. MARIÑAS III</v>
      </c>
      <c r="JN40" s="51"/>
      <c r="JO40" s="51"/>
      <c r="JP40" s="51"/>
      <c r="JQ40" s="51"/>
      <c r="JR40" s="51"/>
      <c r="JS40" s="51"/>
      <c r="JT40" s="51"/>
      <c r="KC40" s="9"/>
      <c r="KD40" s="51" t="str">
        <f>$I$34</f>
        <v>MARION RODRIGO D. MARIÑAS III</v>
      </c>
      <c r="KE40" s="51"/>
      <c r="KF40" s="51"/>
      <c r="KG40" s="51"/>
      <c r="KH40" s="51"/>
      <c r="KI40" s="51"/>
      <c r="KJ40" s="51"/>
      <c r="KK40" s="51"/>
      <c r="KS40" s="9"/>
      <c r="KT40" s="51" t="str">
        <f>$I$34</f>
        <v>MARION RODRIGO D. MARIÑAS III</v>
      </c>
      <c r="KU40" s="51"/>
      <c r="KV40" s="51"/>
      <c r="KW40" s="51"/>
      <c r="KX40" s="51"/>
      <c r="KY40" s="51"/>
      <c r="KZ40" s="51"/>
      <c r="LA40" s="51"/>
      <c r="LJ40" s="9"/>
      <c r="LK40" s="51" t="str">
        <f>$I$34</f>
        <v>MARION RODRIGO D. MARIÑAS III</v>
      </c>
      <c r="LL40" s="51"/>
      <c r="LM40" s="51"/>
      <c r="LN40" s="51"/>
      <c r="LO40" s="51"/>
      <c r="LP40" s="51"/>
      <c r="LQ40" s="51"/>
      <c r="LR40" s="51"/>
    </row>
    <row r="41" spans="1:330" x14ac:dyDescent="0.3">
      <c r="B41" s="9"/>
      <c r="C41" s="9"/>
      <c r="D41" s="9"/>
      <c r="E41" s="9"/>
      <c r="F41" s="9"/>
      <c r="G41" s="9"/>
      <c r="H41" s="9"/>
      <c r="I41" s="47" t="s">
        <v>27</v>
      </c>
      <c r="J41" s="47"/>
      <c r="K41" s="47"/>
      <c r="L41" s="47"/>
      <c r="M41" s="47"/>
      <c r="N41" s="47"/>
      <c r="O41" s="47"/>
      <c r="P41" s="47"/>
      <c r="S41" s="9"/>
      <c r="T41" s="9"/>
      <c r="U41" s="9"/>
      <c r="V41" s="9"/>
      <c r="W41" s="9"/>
      <c r="X41" s="9"/>
      <c r="Y41" s="9"/>
      <c r="Z41" s="47" t="s">
        <v>27</v>
      </c>
      <c r="AA41" s="47"/>
      <c r="AB41" s="47"/>
      <c r="AC41" s="47"/>
      <c r="AD41" s="47"/>
      <c r="AE41" s="47"/>
      <c r="AF41" s="47"/>
      <c r="AG41" s="47"/>
      <c r="AI41" s="9"/>
      <c r="AJ41" s="9"/>
      <c r="AK41" s="9"/>
      <c r="AL41" s="9"/>
      <c r="AM41" s="9"/>
      <c r="AN41" s="9"/>
      <c r="AO41" s="9"/>
      <c r="AP41" s="47" t="s">
        <v>27</v>
      </c>
      <c r="AQ41" s="47"/>
      <c r="AR41" s="47"/>
      <c r="AS41" s="47"/>
      <c r="AT41" s="47"/>
      <c r="AU41" s="47"/>
      <c r="AV41" s="47"/>
      <c r="AW41" s="47"/>
      <c r="AZ41" s="9"/>
      <c r="BA41" s="9"/>
      <c r="BB41" s="9"/>
      <c r="BC41" s="9"/>
      <c r="BD41" s="9"/>
      <c r="BE41" s="9"/>
      <c r="BF41" s="9"/>
      <c r="BG41" s="47" t="s">
        <v>27</v>
      </c>
      <c r="BH41" s="47"/>
      <c r="BI41" s="47"/>
      <c r="BJ41" s="47"/>
      <c r="BK41" s="47"/>
      <c r="BL41" s="47"/>
      <c r="BM41" s="47"/>
      <c r="BN41" s="47"/>
      <c r="BP41" s="9"/>
      <c r="BQ41" s="9"/>
      <c r="BR41" s="9"/>
      <c r="BS41" s="9"/>
      <c r="BT41" s="9"/>
      <c r="BU41" s="9"/>
      <c r="BV41" s="9"/>
      <c r="BW41" s="47" t="s">
        <v>27</v>
      </c>
      <c r="BX41" s="47"/>
      <c r="BY41" s="47"/>
      <c r="BZ41" s="47"/>
      <c r="CA41" s="47"/>
      <c r="CB41" s="47"/>
      <c r="CC41" s="47"/>
      <c r="CD41" s="47"/>
      <c r="CG41" s="9"/>
      <c r="CH41" s="9"/>
      <c r="CI41" s="9"/>
      <c r="CJ41" s="9"/>
      <c r="CK41" s="9"/>
      <c r="CL41" s="9"/>
      <c r="CM41" s="9"/>
      <c r="CN41" s="47" t="s">
        <v>27</v>
      </c>
      <c r="CO41" s="47"/>
      <c r="CP41" s="47"/>
      <c r="CQ41" s="47"/>
      <c r="CR41" s="47"/>
      <c r="CS41" s="47"/>
      <c r="CT41" s="47"/>
      <c r="CU41" s="47"/>
      <c r="CW41" s="9"/>
      <c r="CX41" s="9"/>
      <c r="CY41" s="9"/>
      <c r="CZ41" s="9"/>
      <c r="DA41" s="9"/>
      <c r="DB41" s="9"/>
      <c r="DC41" s="9"/>
      <c r="DD41" s="47" t="s">
        <v>27</v>
      </c>
      <c r="DE41" s="47"/>
      <c r="DF41" s="47"/>
      <c r="DG41" s="47"/>
      <c r="DH41" s="47"/>
      <c r="DI41" s="47"/>
      <c r="DJ41" s="47"/>
      <c r="DK41" s="47"/>
      <c r="DN41" s="9"/>
      <c r="DO41" s="9"/>
      <c r="DP41" s="9"/>
      <c r="DQ41" s="9"/>
      <c r="DR41" s="9"/>
      <c r="DS41" s="9"/>
      <c r="DT41" s="9"/>
      <c r="DU41" s="47" t="s">
        <v>27</v>
      </c>
      <c r="DV41" s="47"/>
      <c r="DW41" s="47"/>
      <c r="DX41" s="47"/>
      <c r="DY41" s="47"/>
      <c r="DZ41" s="47"/>
      <c r="EA41" s="47"/>
      <c r="EB41" s="47"/>
      <c r="ED41" s="9"/>
      <c r="EE41" s="9"/>
      <c r="EF41" s="9"/>
      <c r="EG41" s="9"/>
      <c r="EH41" s="9"/>
      <c r="EI41" s="9"/>
      <c r="EJ41" s="9"/>
      <c r="EK41" s="47" t="s">
        <v>27</v>
      </c>
      <c r="EL41" s="47"/>
      <c r="EM41" s="47"/>
      <c r="EN41" s="47"/>
      <c r="EO41" s="47"/>
      <c r="EP41" s="47"/>
      <c r="EQ41" s="47"/>
      <c r="ER41" s="47"/>
      <c r="EU41" s="9"/>
      <c r="EV41" s="9"/>
      <c r="EW41" s="9"/>
      <c r="EX41" s="9"/>
      <c r="EY41" s="9"/>
      <c r="EZ41" s="9"/>
      <c r="FA41" s="9"/>
      <c r="FB41" s="47" t="s">
        <v>27</v>
      </c>
      <c r="FC41" s="47"/>
      <c r="FD41" s="47"/>
      <c r="FE41" s="47"/>
      <c r="FF41" s="47"/>
      <c r="FG41" s="47"/>
      <c r="FH41" s="47"/>
      <c r="FI41" s="47"/>
      <c r="FK41" s="9"/>
      <c r="FL41" s="9"/>
      <c r="FM41" s="9"/>
      <c r="FN41" s="9"/>
      <c r="FO41" s="9"/>
      <c r="FP41" s="9"/>
      <c r="FQ41" s="9"/>
      <c r="FR41" s="47" t="s">
        <v>27</v>
      </c>
      <c r="FS41" s="47"/>
      <c r="FT41" s="47"/>
      <c r="FU41" s="47"/>
      <c r="FV41" s="47"/>
      <c r="FW41" s="47"/>
      <c r="FX41" s="47"/>
      <c r="FY41" s="47"/>
      <c r="GB41" s="9"/>
      <c r="GC41" s="9"/>
      <c r="GD41" s="9"/>
      <c r="GE41" s="9"/>
      <c r="GF41" s="9"/>
      <c r="GG41" s="9"/>
      <c r="GH41" s="9"/>
      <c r="GI41" s="47" t="s">
        <v>27</v>
      </c>
      <c r="GJ41" s="47"/>
      <c r="GK41" s="47"/>
      <c r="GL41" s="47"/>
      <c r="GM41" s="47"/>
      <c r="GN41" s="47"/>
      <c r="GO41" s="47"/>
      <c r="GP41" s="47"/>
      <c r="GR41" s="9"/>
      <c r="GS41" s="9"/>
      <c r="GT41" s="9"/>
      <c r="GU41" s="9"/>
      <c r="GV41" s="9"/>
      <c r="GW41" s="9"/>
      <c r="GX41" s="9"/>
      <c r="GY41" s="47" t="s">
        <v>27</v>
      </c>
      <c r="GZ41" s="47"/>
      <c r="HA41" s="47"/>
      <c r="HB41" s="47"/>
      <c r="HC41" s="47"/>
      <c r="HD41" s="47"/>
      <c r="HE41" s="47"/>
      <c r="HF41" s="47"/>
      <c r="HI41" s="9"/>
      <c r="HJ41" s="9"/>
      <c r="HK41" s="9"/>
      <c r="HL41" s="9"/>
      <c r="HM41" s="9"/>
      <c r="HN41" s="9"/>
      <c r="HO41" s="9"/>
      <c r="HP41" s="47" t="s">
        <v>27</v>
      </c>
      <c r="HQ41" s="47"/>
      <c r="HR41" s="47"/>
      <c r="HS41" s="47"/>
      <c r="HT41" s="47"/>
      <c r="HU41" s="47"/>
      <c r="HV41" s="47"/>
      <c r="HW41" s="47"/>
      <c r="HY41" s="9"/>
      <c r="HZ41" s="9"/>
      <c r="IA41" s="9"/>
      <c r="IB41" s="9"/>
      <c r="IC41" s="9"/>
      <c r="ID41" s="9"/>
      <c r="IE41" s="9"/>
      <c r="IF41" s="47" t="s">
        <v>27</v>
      </c>
      <c r="IG41" s="47"/>
      <c r="IH41" s="47"/>
      <c r="II41" s="47"/>
      <c r="IJ41" s="47"/>
      <c r="IK41" s="47"/>
      <c r="IL41" s="47"/>
      <c r="IM41" s="47"/>
      <c r="IP41" s="9"/>
      <c r="IQ41" s="9"/>
      <c r="IR41" s="9"/>
      <c r="IS41" s="9"/>
      <c r="IT41" s="9"/>
      <c r="IU41" s="9"/>
      <c r="IV41" s="9"/>
      <c r="IW41" s="47" t="s">
        <v>27</v>
      </c>
      <c r="IX41" s="47"/>
      <c r="IY41" s="47"/>
      <c r="IZ41" s="47"/>
      <c r="JA41" s="47"/>
      <c r="JB41" s="47"/>
      <c r="JC41" s="47"/>
      <c r="JD41" s="47"/>
      <c r="JF41" s="9"/>
      <c r="JG41" s="9"/>
      <c r="JH41" s="9"/>
      <c r="JI41" s="9"/>
      <c r="JJ41" s="9"/>
      <c r="JK41" s="9"/>
      <c r="JL41" s="9"/>
      <c r="JM41" s="47" t="s">
        <v>27</v>
      </c>
      <c r="JN41" s="47"/>
      <c r="JO41" s="47"/>
      <c r="JP41" s="47"/>
      <c r="JQ41" s="47"/>
      <c r="JR41" s="47"/>
      <c r="JS41" s="47"/>
      <c r="JT41" s="47"/>
      <c r="JW41" s="9"/>
      <c r="JX41" s="9"/>
      <c r="JY41" s="9"/>
      <c r="JZ41" s="9"/>
      <c r="KA41" s="9"/>
      <c r="KB41" s="9"/>
      <c r="KC41" s="9"/>
      <c r="KD41" s="47" t="s">
        <v>27</v>
      </c>
      <c r="KE41" s="47"/>
      <c r="KF41" s="47"/>
      <c r="KG41" s="47"/>
      <c r="KH41" s="47"/>
      <c r="KI41" s="47"/>
      <c r="KJ41" s="47"/>
      <c r="KK41" s="47"/>
      <c r="KM41" s="9"/>
      <c r="KN41" s="9"/>
      <c r="KO41" s="9"/>
      <c r="KP41" s="9"/>
      <c r="KQ41" s="9"/>
      <c r="KR41" s="9"/>
      <c r="KS41" s="9"/>
      <c r="KT41" s="47" t="s">
        <v>27</v>
      </c>
      <c r="KU41" s="47"/>
      <c r="KV41" s="47"/>
      <c r="KW41" s="47"/>
      <c r="KX41" s="47"/>
      <c r="KY41" s="47"/>
      <c r="KZ41" s="47"/>
      <c r="LA41" s="47"/>
      <c r="LD41" s="9"/>
      <c r="LE41" s="9"/>
      <c r="LF41" s="9"/>
      <c r="LG41" s="9"/>
      <c r="LH41" s="9"/>
      <c r="LI41" s="9"/>
      <c r="LJ41" s="9"/>
      <c r="LK41" s="47" t="s">
        <v>27</v>
      </c>
      <c r="LL41" s="47"/>
      <c r="LM41" s="47"/>
      <c r="LN41" s="47"/>
      <c r="LO41" s="47"/>
      <c r="LP41" s="47"/>
      <c r="LQ41" s="47"/>
      <c r="LR41" s="47"/>
    </row>
  </sheetData>
  <mergeCells count="1481">
    <mergeCell ref="KT41:LA41"/>
    <mergeCell ref="LK41:LR41"/>
    <mergeCell ref="AP41:AW41"/>
    <mergeCell ref="BG41:BN41"/>
    <mergeCell ref="BW41:CD41"/>
    <mergeCell ref="CN41:CU41"/>
    <mergeCell ref="DD41:DK41"/>
    <mergeCell ref="DU41:EB41"/>
    <mergeCell ref="EK41:ER41"/>
    <mergeCell ref="FB41:FI41"/>
    <mergeCell ref="FR41:FY41"/>
    <mergeCell ref="GI41:GP41"/>
    <mergeCell ref="GY41:HF41"/>
    <mergeCell ref="HP41:HW41"/>
    <mergeCell ref="IF41:IM41"/>
    <mergeCell ref="IW41:JD41"/>
    <mergeCell ref="JM41:JT41"/>
    <mergeCell ref="KD41:KK41"/>
    <mergeCell ref="GI40:GP40"/>
    <mergeCell ref="GY40:HF40"/>
    <mergeCell ref="HP40:HW40"/>
    <mergeCell ref="IF40:IM40"/>
    <mergeCell ref="IW40:JD40"/>
    <mergeCell ref="JM40:JT40"/>
    <mergeCell ref="KD40:KK40"/>
    <mergeCell ref="KT40:LA40"/>
    <mergeCell ref="LK40:LR40"/>
    <mergeCell ref="AP40:AW40"/>
    <mergeCell ref="BG40:BN40"/>
    <mergeCell ref="BW40:CD40"/>
    <mergeCell ref="CN40:CU40"/>
    <mergeCell ref="DD40:DK40"/>
    <mergeCell ref="DU40:EB40"/>
    <mergeCell ref="EK40:ER40"/>
    <mergeCell ref="FB40:FI40"/>
    <mergeCell ref="FR40:FY40"/>
    <mergeCell ref="LD39:LI39"/>
    <mergeCell ref="AI39:AN39"/>
    <mergeCell ref="AZ39:BE39"/>
    <mergeCell ref="BP39:BU39"/>
    <mergeCell ref="CG39:CL39"/>
    <mergeCell ref="CW39:DB39"/>
    <mergeCell ref="DN39:DS39"/>
    <mergeCell ref="ED39:EI39"/>
    <mergeCell ref="EU39:EZ39"/>
    <mergeCell ref="FK39:FP39"/>
    <mergeCell ref="GB39:GG39"/>
    <mergeCell ref="GR39:GW39"/>
    <mergeCell ref="HI39:HN39"/>
    <mergeCell ref="HY39:ID39"/>
    <mergeCell ref="IP39:IU39"/>
    <mergeCell ref="JF39:JK39"/>
    <mergeCell ref="JW39:KB39"/>
    <mergeCell ref="KM39:KR39"/>
    <mergeCell ref="AI37:AW37"/>
    <mergeCell ref="AZ37:BN37"/>
    <mergeCell ref="BP37:CD37"/>
    <mergeCell ref="CG37:CU37"/>
    <mergeCell ref="CW37:DK37"/>
    <mergeCell ref="DN37:EB37"/>
    <mergeCell ref="ED37:ER37"/>
    <mergeCell ref="EU37:FI37"/>
    <mergeCell ref="FK37:FY37"/>
    <mergeCell ref="GB37:GP37"/>
    <mergeCell ref="GR37:HF37"/>
    <mergeCell ref="HI37:HW37"/>
    <mergeCell ref="HY37:IM37"/>
    <mergeCell ref="IP37:JD37"/>
    <mergeCell ref="JF37:JT37"/>
    <mergeCell ref="JW37:KK37"/>
    <mergeCell ref="KM37:LA37"/>
    <mergeCell ref="JM35:JT35"/>
    <mergeCell ref="JV35:KB35"/>
    <mergeCell ref="KD35:KK35"/>
    <mergeCell ref="KL35:KR35"/>
    <mergeCell ref="KT35:LA35"/>
    <mergeCell ref="LC35:LI35"/>
    <mergeCell ref="LK35:LR35"/>
    <mergeCell ref="LD37:LR37"/>
    <mergeCell ref="AH35:AN35"/>
    <mergeCell ref="AP35:AW35"/>
    <mergeCell ref="AY35:BE35"/>
    <mergeCell ref="BG35:BN35"/>
    <mergeCell ref="BO35:BU35"/>
    <mergeCell ref="BW35:CD35"/>
    <mergeCell ref="CF35:CL35"/>
    <mergeCell ref="CN35:CU35"/>
    <mergeCell ref="CV35:DB35"/>
    <mergeCell ref="DD35:DK35"/>
    <mergeCell ref="DM35:DS35"/>
    <mergeCell ref="DU35:EB35"/>
    <mergeCell ref="EC35:EI35"/>
    <mergeCell ref="EK35:ER35"/>
    <mergeCell ref="ET35:EZ35"/>
    <mergeCell ref="FB35:FI35"/>
    <mergeCell ref="FJ35:FP35"/>
    <mergeCell ref="FR35:FY35"/>
    <mergeCell ref="GA35:GG35"/>
    <mergeCell ref="JV34:KB34"/>
    <mergeCell ref="KD34:KK34"/>
    <mergeCell ref="KL34:KR34"/>
    <mergeCell ref="KT34:LA34"/>
    <mergeCell ref="LC34:LI34"/>
    <mergeCell ref="LK34:LR34"/>
    <mergeCell ref="GI35:GP35"/>
    <mergeCell ref="GQ35:GW35"/>
    <mergeCell ref="GY35:HF35"/>
    <mergeCell ref="HH35:HN35"/>
    <mergeCell ref="HP35:HW35"/>
    <mergeCell ref="HX35:ID35"/>
    <mergeCell ref="IF35:IM35"/>
    <mergeCell ref="IO35:IU35"/>
    <mergeCell ref="IW35:JD35"/>
    <mergeCell ref="JE35:JK35"/>
    <mergeCell ref="AH34:AN34"/>
    <mergeCell ref="AP34:AW34"/>
    <mergeCell ref="AY34:BE34"/>
    <mergeCell ref="BG34:BN34"/>
    <mergeCell ref="BO34:BU34"/>
    <mergeCell ref="BW34:CD34"/>
    <mergeCell ref="CF34:CL34"/>
    <mergeCell ref="CN34:CU34"/>
    <mergeCell ref="CV34:DB34"/>
    <mergeCell ref="DD34:DK34"/>
    <mergeCell ref="DM34:DS34"/>
    <mergeCell ref="DU34:EB34"/>
    <mergeCell ref="EC34:EI34"/>
    <mergeCell ref="EK34:ER34"/>
    <mergeCell ref="ET34:EZ34"/>
    <mergeCell ref="FB34:FI34"/>
    <mergeCell ref="FJ34:FP34"/>
    <mergeCell ref="FR34:FY34"/>
    <mergeCell ref="GA34:GG34"/>
    <mergeCell ref="GI34:GP34"/>
    <mergeCell ref="GQ34:GW34"/>
    <mergeCell ref="GY34:HF34"/>
    <mergeCell ref="HH34:HN34"/>
    <mergeCell ref="HP34:HW34"/>
    <mergeCell ref="HX34:ID34"/>
    <mergeCell ref="IF34:IM34"/>
    <mergeCell ref="IO34:IU34"/>
    <mergeCell ref="IW34:JD34"/>
    <mergeCell ref="JE34:JK34"/>
    <mergeCell ref="JM34:JT34"/>
    <mergeCell ref="AJ33:AN33"/>
    <mergeCell ref="BA33:BE33"/>
    <mergeCell ref="BQ33:BU33"/>
    <mergeCell ref="CH33:CL33"/>
    <mergeCell ref="CX33:DB33"/>
    <mergeCell ref="DO33:DS33"/>
    <mergeCell ref="EE33:EI33"/>
    <mergeCell ref="EV33:EZ33"/>
    <mergeCell ref="FL33:FP33"/>
    <mergeCell ref="GC33:GG33"/>
    <mergeCell ref="GS33:GW33"/>
    <mergeCell ref="HJ33:HN33"/>
    <mergeCell ref="HZ33:ID33"/>
    <mergeCell ref="IQ33:IU33"/>
    <mergeCell ref="JG33:JK33"/>
    <mergeCell ref="JX33:KB33"/>
    <mergeCell ref="KN33:KR33"/>
    <mergeCell ref="LE33:LI33"/>
    <mergeCell ref="KO32:KZ32"/>
    <mergeCell ref="LF32:LQ32"/>
    <mergeCell ref="JI31:JS31"/>
    <mergeCell ref="JZ31:KJ31"/>
    <mergeCell ref="KP31:KZ31"/>
    <mergeCell ref="LG31:LQ31"/>
    <mergeCell ref="AK32:AV32"/>
    <mergeCell ref="BB32:BM32"/>
    <mergeCell ref="BR32:CC32"/>
    <mergeCell ref="CI32:CT32"/>
    <mergeCell ref="CY32:DJ32"/>
    <mergeCell ref="DP32:EA32"/>
    <mergeCell ref="EF32:EQ32"/>
    <mergeCell ref="EW32:FH32"/>
    <mergeCell ref="FM32:FX32"/>
    <mergeCell ref="GD32:GO32"/>
    <mergeCell ref="GT32:HE32"/>
    <mergeCell ref="HK32:HV32"/>
    <mergeCell ref="IA32:IL32"/>
    <mergeCell ref="IR32:JC32"/>
    <mergeCell ref="JH32:JS32"/>
    <mergeCell ref="JY32:KJ32"/>
    <mergeCell ref="AL31:AV31"/>
    <mergeCell ref="BC31:BM31"/>
    <mergeCell ref="BS31:CC31"/>
    <mergeCell ref="CJ31:CT31"/>
    <mergeCell ref="CZ31:DJ31"/>
    <mergeCell ref="DQ31:EA31"/>
    <mergeCell ref="EG31:EQ31"/>
    <mergeCell ref="EX31:FH31"/>
    <mergeCell ref="FN31:FX31"/>
    <mergeCell ref="GE31:GO31"/>
    <mergeCell ref="GU31:HE31"/>
    <mergeCell ref="HL31:HV31"/>
    <mergeCell ref="IB31:IL31"/>
    <mergeCell ref="IS31:JC31"/>
    <mergeCell ref="LJ30:LQ30"/>
    <mergeCell ref="AO30:AV30"/>
    <mergeCell ref="BF30:BM30"/>
    <mergeCell ref="BV30:CC30"/>
    <mergeCell ref="CM30:CT30"/>
    <mergeCell ref="DC30:DJ30"/>
    <mergeCell ref="DT30:EA30"/>
    <mergeCell ref="EJ30:EQ30"/>
    <mergeCell ref="FA30:FH30"/>
    <mergeCell ref="FQ30:FX30"/>
    <mergeCell ref="GH30:GO30"/>
    <mergeCell ref="GX30:HE30"/>
    <mergeCell ref="HO30:HV30"/>
    <mergeCell ref="IE30:IL30"/>
    <mergeCell ref="IV30:JC30"/>
    <mergeCell ref="JL30:JS30"/>
    <mergeCell ref="KC30:KJ30"/>
    <mergeCell ref="KS30:KZ30"/>
    <mergeCell ref="AH29:AI29"/>
    <mergeCell ref="AV29:AW29"/>
    <mergeCell ref="AY29:AZ29"/>
    <mergeCell ref="BM29:BN29"/>
    <mergeCell ref="BO29:BP29"/>
    <mergeCell ref="CC29:CD29"/>
    <mergeCell ref="CF29:CG29"/>
    <mergeCell ref="CT29:CU29"/>
    <mergeCell ref="CV29:CW29"/>
    <mergeCell ref="JC29:JD29"/>
    <mergeCell ref="JE29:JF29"/>
    <mergeCell ref="JS29:JT29"/>
    <mergeCell ref="JV29:JW29"/>
    <mergeCell ref="KJ29:KK29"/>
    <mergeCell ref="KL29:KM29"/>
    <mergeCell ref="KZ29:LA29"/>
    <mergeCell ref="LC29:LD29"/>
    <mergeCell ref="GA29:GB29"/>
    <mergeCell ref="GO29:GP29"/>
    <mergeCell ref="GQ29:GR29"/>
    <mergeCell ref="HE29:HF29"/>
    <mergeCell ref="HH29:HI29"/>
    <mergeCell ref="HV29:HW29"/>
    <mergeCell ref="HX29:HY29"/>
    <mergeCell ref="IL29:IM29"/>
    <mergeCell ref="IO29:IP29"/>
    <mergeCell ref="DJ29:DK29"/>
    <mergeCell ref="DM29:DN29"/>
    <mergeCell ref="EA29:EB29"/>
    <mergeCell ref="EC29:ED29"/>
    <mergeCell ref="EQ29:ER29"/>
    <mergeCell ref="ET29:EU29"/>
    <mergeCell ref="FH29:FI29"/>
    <mergeCell ref="FJ29:FK29"/>
    <mergeCell ref="FX29:FY29"/>
    <mergeCell ref="LQ29:LR29"/>
    <mergeCell ref="JC28:JD28"/>
    <mergeCell ref="JE28:JF28"/>
    <mergeCell ref="JS28:JT28"/>
    <mergeCell ref="JV28:JW28"/>
    <mergeCell ref="KJ28:KK28"/>
    <mergeCell ref="KL28:KM28"/>
    <mergeCell ref="KZ28:LA28"/>
    <mergeCell ref="LC28:LD28"/>
    <mergeCell ref="LQ28:LR28"/>
    <mergeCell ref="GA28:GB28"/>
    <mergeCell ref="GO28:GP28"/>
    <mergeCell ref="GQ28:GR28"/>
    <mergeCell ref="HE28:HF28"/>
    <mergeCell ref="HH28:HI28"/>
    <mergeCell ref="HV28:HW28"/>
    <mergeCell ref="HX28:HY28"/>
    <mergeCell ref="IL28:IM28"/>
    <mergeCell ref="IO28:IP28"/>
    <mergeCell ref="DJ28:DK28"/>
    <mergeCell ref="DM28:DN28"/>
    <mergeCell ref="EA28:EB28"/>
    <mergeCell ref="EC28:ED28"/>
    <mergeCell ref="EQ28:ER28"/>
    <mergeCell ref="ET28:EU28"/>
    <mergeCell ref="FH28:FI28"/>
    <mergeCell ref="FJ28:FK28"/>
    <mergeCell ref="FX28:FY28"/>
    <mergeCell ref="AH28:AI28"/>
    <mergeCell ref="AV28:AW28"/>
    <mergeCell ref="AY28:AZ28"/>
    <mergeCell ref="BM28:BN28"/>
    <mergeCell ref="BO28:BP28"/>
    <mergeCell ref="CC28:CD28"/>
    <mergeCell ref="CF28:CG28"/>
    <mergeCell ref="CT28:CU28"/>
    <mergeCell ref="CV28:CW28"/>
    <mergeCell ref="JC27:JD27"/>
    <mergeCell ref="JE27:JF27"/>
    <mergeCell ref="JS27:JT27"/>
    <mergeCell ref="JV27:JW27"/>
    <mergeCell ref="KJ27:KK27"/>
    <mergeCell ref="KL27:KM27"/>
    <mergeCell ref="KZ27:LA27"/>
    <mergeCell ref="LC27:LD27"/>
    <mergeCell ref="LQ27:LR27"/>
    <mergeCell ref="GA27:GB27"/>
    <mergeCell ref="GO27:GP27"/>
    <mergeCell ref="GQ27:GR27"/>
    <mergeCell ref="HE27:HF27"/>
    <mergeCell ref="HH27:HI27"/>
    <mergeCell ref="HV27:HW27"/>
    <mergeCell ref="HX27:HY27"/>
    <mergeCell ref="IL27:IM27"/>
    <mergeCell ref="IO27:IP27"/>
    <mergeCell ref="AH27:AI27"/>
    <mergeCell ref="AV27:AW27"/>
    <mergeCell ref="AY27:AZ27"/>
    <mergeCell ref="BM27:BN27"/>
    <mergeCell ref="BO27:BP27"/>
    <mergeCell ref="CC27:CD27"/>
    <mergeCell ref="CF27:CG27"/>
    <mergeCell ref="CT27:CU27"/>
    <mergeCell ref="CV27:CW27"/>
    <mergeCell ref="DJ27:DK27"/>
    <mergeCell ref="DM27:DN27"/>
    <mergeCell ref="EA27:EB27"/>
    <mergeCell ref="EC27:ED27"/>
    <mergeCell ref="EQ27:ER27"/>
    <mergeCell ref="ET27:EU27"/>
    <mergeCell ref="FH27:FI27"/>
    <mergeCell ref="FJ27:FK27"/>
    <mergeCell ref="FX27:FY27"/>
    <mergeCell ref="FX26:FY26"/>
    <mergeCell ref="GA26:GB26"/>
    <mergeCell ref="JE26:JF26"/>
    <mergeCell ref="JS26:JT26"/>
    <mergeCell ref="JV26:JW26"/>
    <mergeCell ref="KJ26:KK26"/>
    <mergeCell ref="KL26:KM26"/>
    <mergeCell ref="KZ26:LA26"/>
    <mergeCell ref="LC26:LD26"/>
    <mergeCell ref="LQ26:LR26"/>
    <mergeCell ref="GO26:GP26"/>
    <mergeCell ref="GQ26:GR26"/>
    <mergeCell ref="HE26:HF26"/>
    <mergeCell ref="HH26:HI26"/>
    <mergeCell ref="HV26:HW26"/>
    <mergeCell ref="HX26:HY26"/>
    <mergeCell ref="IL26:IM26"/>
    <mergeCell ref="IO26:IP26"/>
    <mergeCell ref="JC26:JD26"/>
    <mergeCell ref="AH26:AI26"/>
    <mergeCell ref="AV26:AW26"/>
    <mergeCell ref="AY26:AZ26"/>
    <mergeCell ref="BM26:BN26"/>
    <mergeCell ref="BO26:BP26"/>
    <mergeCell ref="CC26:CD26"/>
    <mergeCell ref="CF26:CG26"/>
    <mergeCell ref="CT26:CU26"/>
    <mergeCell ref="CV26:CW26"/>
    <mergeCell ref="DJ26:DK26"/>
    <mergeCell ref="DM26:DN26"/>
    <mergeCell ref="EA26:EB26"/>
    <mergeCell ref="EC26:ED26"/>
    <mergeCell ref="EQ26:ER26"/>
    <mergeCell ref="ET26:EU26"/>
    <mergeCell ref="FH26:FI26"/>
    <mergeCell ref="FJ26:FK26"/>
    <mergeCell ref="AI25:AW25"/>
    <mergeCell ref="AZ25:BN25"/>
    <mergeCell ref="BP25:CD25"/>
    <mergeCell ref="CG25:CU25"/>
    <mergeCell ref="CW25:DK25"/>
    <mergeCell ref="DN25:EB25"/>
    <mergeCell ref="ED25:ER25"/>
    <mergeCell ref="EU25:FI25"/>
    <mergeCell ref="FK25:FY25"/>
    <mergeCell ref="GB25:GP25"/>
    <mergeCell ref="GR25:HF25"/>
    <mergeCell ref="HI25:HW25"/>
    <mergeCell ref="HY25:IM25"/>
    <mergeCell ref="IP25:JD25"/>
    <mergeCell ref="JF25:JT25"/>
    <mergeCell ref="JW25:KK25"/>
    <mergeCell ref="KM25:LA25"/>
    <mergeCell ref="LD25:LR25"/>
    <mergeCell ref="AR24:AS24"/>
    <mergeCell ref="BI24:BJ24"/>
    <mergeCell ref="BY24:BZ24"/>
    <mergeCell ref="CP24:CQ24"/>
    <mergeCell ref="DF24:DG24"/>
    <mergeCell ref="DW24:DX24"/>
    <mergeCell ref="EM24:EN24"/>
    <mergeCell ref="FD24:FE24"/>
    <mergeCell ref="FT24:FU24"/>
    <mergeCell ref="GK24:GL24"/>
    <mergeCell ref="HA24:HB24"/>
    <mergeCell ref="HR24:HS24"/>
    <mergeCell ref="IH24:II24"/>
    <mergeCell ref="IY24:IZ24"/>
    <mergeCell ref="JO24:JP24"/>
    <mergeCell ref="KF24:KG24"/>
    <mergeCell ref="KV24:KW24"/>
    <mergeCell ref="LM24:LN24"/>
    <mergeCell ref="KH23:KI23"/>
    <mergeCell ref="KM23:KQ23"/>
    <mergeCell ref="KV23:KW23"/>
    <mergeCell ref="KX23:KY23"/>
    <mergeCell ref="LD23:LH23"/>
    <mergeCell ref="LM23:LN23"/>
    <mergeCell ref="LO23:LP23"/>
    <mergeCell ref="IJ23:IK23"/>
    <mergeCell ref="IP23:IT23"/>
    <mergeCell ref="IY23:IZ23"/>
    <mergeCell ref="JA23:JB23"/>
    <mergeCell ref="JF23:JJ23"/>
    <mergeCell ref="JO23:JP23"/>
    <mergeCell ref="JQ23:JR23"/>
    <mergeCell ref="JW23:KA23"/>
    <mergeCell ref="KF23:KG23"/>
    <mergeCell ref="GM23:GN23"/>
    <mergeCell ref="GR23:GV23"/>
    <mergeCell ref="HA23:HB23"/>
    <mergeCell ref="HC23:HD23"/>
    <mergeCell ref="HI23:HM23"/>
    <mergeCell ref="HR23:HS23"/>
    <mergeCell ref="HT23:HU23"/>
    <mergeCell ref="HY23:IC23"/>
    <mergeCell ref="IH23:II23"/>
    <mergeCell ref="EO23:EP23"/>
    <mergeCell ref="EU23:EY23"/>
    <mergeCell ref="FD23:FE23"/>
    <mergeCell ref="FF23:FG23"/>
    <mergeCell ref="FK23:FO23"/>
    <mergeCell ref="FT23:FU23"/>
    <mergeCell ref="FV23:FW23"/>
    <mergeCell ref="GB23:GF23"/>
    <mergeCell ref="GK23:GL23"/>
    <mergeCell ref="AI23:AM23"/>
    <mergeCell ref="AR23:AS23"/>
    <mergeCell ref="AT23:AU23"/>
    <mergeCell ref="AZ23:BD23"/>
    <mergeCell ref="BI23:BJ23"/>
    <mergeCell ref="BK23:BL23"/>
    <mergeCell ref="BP23:BT23"/>
    <mergeCell ref="BY23:BZ23"/>
    <mergeCell ref="CA23:CB23"/>
    <mergeCell ref="CG23:CK23"/>
    <mergeCell ref="CP23:CQ23"/>
    <mergeCell ref="CR23:CS23"/>
    <mergeCell ref="CW23:DA23"/>
    <mergeCell ref="DF23:DG23"/>
    <mergeCell ref="DH23:DI23"/>
    <mergeCell ref="DN23:DR23"/>
    <mergeCell ref="DW23:DX23"/>
    <mergeCell ref="DY23:DZ23"/>
    <mergeCell ref="ED23:EH23"/>
    <mergeCell ref="EM23:EN23"/>
    <mergeCell ref="LO22:LP22"/>
    <mergeCell ref="JQ22:JR22"/>
    <mergeCell ref="JW22:KA22"/>
    <mergeCell ref="KF22:KG22"/>
    <mergeCell ref="KH22:KI22"/>
    <mergeCell ref="KM22:KQ22"/>
    <mergeCell ref="KV22:KW22"/>
    <mergeCell ref="KX22:KY22"/>
    <mergeCell ref="LD22:LH22"/>
    <mergeCell ref="LM22:LN22"/>
    <mergeCell ref="HT22:HU22"/>
    <mergeCell ref="HY22:IC22"/>
    <mergeCell ref="IH22:II22"/>
    <mergeCell ref="IJ22:IK22"/>
    <mergeCell ref="IP22:IT22"/>
    <mergeCell ref="IY22:IZ22"/>
    <mergeCell ref="JA22:JB22"/>
    <mergeCell ref="JF22:JJ22"/>
    <mergeCell ref="JO22:JP22"/>
    <mergeCell ref="FV22:FW22"/>
    <mergeCell ref="GB22:GF22"/>
    <mergeCell ref="GK22:GL22"/>
    <mergeCell ref="GM22:GN22"/>
    <mergeCell ref="GR22:GV22"/>
    <mergeCell ref="HA22:HB22"/>
    <mergeCell ref="HC22:HD22"/>
    <mergeCell ref="HI22:HM22"/>
    <mergeCell ref="HR22:HS22"/>
    <mergeCell ref="DY22:DZ22"/>
    <mergeCell ref="ED22:EH22"/>
    <mergeCell ref="EM22:EN22"/>
    <mergeCell ref="EO22:EP22"/>
    <mergeCell ref="EU22:EY22"/>
    <mergeCell ref="FD22:FE22"/>
    <mergeCell ref="FF22:FG22"/>
    <mergeCell ref="FK22:FO22"/>
    <mergeCell ref="FT22:FU22"/>
    <mergeCell ref="AI22:AM22"/>
    <mergeCell ref="AR22:AS22"/>
    <mergeCell ref="AT22:AU22"/>
    <mergeCell ref="AZ22:BD22"/>
    <mergeCell ref="BI22:BJ22"/>
    <mergeCell ref="BK22:BL22"/>
    <mergeCell ref="BP22:BT22"/>
    <mergeCell ref="BY22:BZ22"/>
    <mergeCell ref="CA22:CB22"/>
    <mergeCell ref="CG22:CK22"/>
    <mergeCell ref="CP22:CQ22"/>
    <mergeCell ref="CR22:CS22"/>
    <mergeCell ref="CW22:DA22"/>
    <mergeCell ref="DF22:DG22"/>
    <mergeCell ref="DH22:DI22"/>
    <mergeCell ref="DN22:DR22"/>
    <mergeCell ref="DW22:DX22"/>
    <mergeCell ref="KX21:KY21"/>
    <mergeCell ref="LD21:LH21"/>
    <mergeCell ref="LM21:LN21"/>
    <mergeCell ref="LO21:LP21"/>
    <mergeCell ref="JA21:JB21"/>
    <mergeCell ref="JF21:JJ21"/>
    <mergeCell ref="JO21:JP21"/>
    <mergeCell ref="JQ21:JR21"/>
    <mergeCell ref="JW21:KA21"/>
    <mergeCell ref="KF21:KG21"/>
    <mergeCell ref="KH21:KI21"/>
    <mergeCell ref="KM21:KQ21"/>
    <mergeCell ref="KV21:KW21"/>
    <mergeCell ref="HC21:HD21"/>
    <mergeCell ref="HI21:HM21"/>
    <mergeCell ref="HR21:HS21"/>
    <mergeCell ref="HT21:HU21"/>
    <mergeCell ref="HY21:IC21"/>
    <mergeCell ref="IH21:II21"/>
    <mergeCell ref="IJ21:IK21"/>
    <mergeCell ref="IP21:IT21"/>
    <mergeCell ref="IY21:IZ21"/>
    <mergeCell ref="FF21:FG21"/>
    <mergeCell ref="FK21:FO21"/>
    <mergeCell ref="FT21:FU21"/>
    <mergeCell ref="FV21:FW21"/>
    <mergeCell ref="GB21:GF21"/>
    <mergeCell ref="GK21:GL21"/>
    <mergeCell ref="GM21:GN21"/>
    <mergeCell ref="GR21:GV21"/>
    <mergeCell ref="HA21:HB21"/>
    <mergeCell ref="AI21:AM21"/>
    <mergeCell ref="AR21:AS21"/>
    <mergeCell ref="AT21:AU21"/>
    <mergeCell ref="AZ21:BD21"/>
    <mergeCell ref="BI21:BJ21"/>
    <mergeCell ref="BK21:BL21"/>
    <mergeCell ref="BP21:BT21"/>
    <mergeCell ref="BY21:BZ21"/>
    <mergeCell ref="CA21:CB21"/>
    <mergeCell ref="CG21:CK21"/>
    <mergeCell ref="CP21:CQ21"/>
    <mergeCell ref="CR21:CS21"/>
    <mergeCell ref="CW21:DA21"/>
    <mergeCell ref="DF21:DG21"/>
    <mergeCell ref="DH21:DI21"/>
    <mergeCell ref="DN21:DR21"/>
    <mergeCell ref="DW21:DX21"/>
    <mergeCell ref="DY21:DZ21"/>
    <mergeCell ref="ED21:EH21"/>
    <mergeCell ref="EM21:EN21"/>
    <mergeCell ref="EO21:EP21"/>
    <mergeCell ref="EU21:EY21"/>
    <mergeCell ref="FD21:FE21"/>
    <mergeCell ref="KH20:KI20"/>
    <mergeCell ref="KM20:KQ20"/>
    <mergeCell ref="KV20:KW20"/>
    <mergeCell ref="KX20:KY20"/>
    <mergeCell ref="LD20:LH20"/>
    <mergeCell ref="LM20:LN20"/>
    <mergeCell ref="LO20:LP20"/>
    <mergeCell ref="IJ20:IK20"/>
    <mergeCell ref="IP20:IT20"/>
    <mergeCell ref="IY20:IZ20"/>
    <mergeCell ref="JA20:JB20"/>
    <mergeCell ref="JF20:JJ20"/>
    <mergeCell ref="JO20:JP20"/>
    <mergeCell ref="JQ20:JR20"/>
    <mergeCell ref="JW20:KA20"/>
    <mergeCell ref="KF20:KG20"/>
    <mergeCell ref="GM20:GN20"/>
    <mergeCell ref="GR20:GV20"/>
    <mergeCell ref="HA20:HB20"/>
    <mergeCell ref="HC20:HD20"/>
    <mergeCell ref="HI20:HM20"/>
    <mergeCell ref="HR20:HS20"/>
    <mergeCell ref="HT20:HU20"/>
    <mergeCell ref="HY20:IC20"/>
    <mergeCell ref="IH20:II20"/>
    <mergeCell ref="EO20:EP20"/>
    <mergeCell ref="EU20:EY20"/>
    <mergeCell ref="FD20:FE20"/>
    <mergeCell ref="FF20:FG20"/>
    <mergeCell ref="FK20:FO20"/>
    <mergeCell ref="FT20:FU20"/>
    <mergeCell ref="FV20:FW20"/>
    <mergeCell ref="GB20:GF20"/>
    <mergeCell ref="GK20:GL20"/>
    <mergeCell ref="AI20:AM20"/>
    <mergeCell ref="AR20:AS20"/>
    <mergeCell ref="AT20:AU20"/>
    <mergeCell ref="AZ20:BD20"/>
    <mergeCell ref="BI20:BJ20"/>
    <mergeCell ref="BK20:BL20"/>
    <mergeCell ref="BP20:BT20"/>
    <mergeCell ref="BY20:BZ20"/>
    <mergeCell ref="CA20:CB20"/>
    <mergeCell ref="CG20:CK20"/>
    <mergeCell ref="CP20:CQ20"/>
    <mergeCell ref="CR20:CS20"/>
    <mergeCell ref="CW20:DA20"/>
    <mergeCell ref="DF20:DG20"/>
    <mergeCell ref="DH20:DI20"/>
    <mergeCell ref="DN20:DR20"/>
    <mergeCell ref="DW20:DX20"/>
    <mergeCell ref="DY20:DZ20"/>
    <mergeCell ref="ED20:EH20"/>
    <mergeCell ref="EM20:EN20"/>
    <mergeCell ref="LO19:LP19"/>
    <mergeCell ref="JQ19:JR19"/>
    <mergeCell ref="JW19:KA19"/>
    <mergeCell ref="KF19:KG19"/>
    <mergeCell ref="KH19:KI19"/>
    <mergeCell ref="KM19:KQ19"/>
    <mergeCell ref="KV19:KW19"/>
    <mergeCell ref="KX19:KY19"/>
    <mergeCell ref="LD19:LH19"/>
    <mergeCell ref="LM19:LN19"/>
    <mergeCell ref="HT19:HU19"/>
    <mergeCell ref="HY19:IC19"/>
    <mergeCell ref="IH19:II19"/>
    <mergeCell ref="IJ19:IK19"/>
    <mergeCell ref="IP19:IT19"/>
    <mergeCell ref="IY19:IZ19"/>
    <mergeCell ref="JA19:JB19"/>
    <mergeCell ref="JF19:JJ19"/>
    <mergeCell ref="JO19:JP19"/>
    <mergeCell ref="FV19:FW19"/>
    <mergeCell ref="GB19:GF19"/>
    <mergeCell ref="GK19:GL19"/>
    <mergeCell ref="GM19:GN19"/>
    <mergeCell ref="GR19:GV19"/>
    <mergeCell ref="HA19:HB19"/>
    <mergeCell ref="HC19:HD19"/>
    <mergeCell ref="HI19:HM19"/>
    <mergeCell ref="HR19:HS19"/>
    <mergeCell ref="DY19:DZ19"/>
    <mergeCell ref="ED19:EH19"/>
    <mergeCell ref="EM19:EN19"/>
    <mergeCell ref="EO19:EP19"/>
    <mergeCell ref="EU19:EY19"/>
    <mergeCell ref="FD19:FE19"/>
    <mergeCell ref="FF19:FG19"/>
    <mergeCell ref="FK19:FO19"/>
    <mergeCell ref="FT19:FU19"/>
    <mergeCell ref="AI19:AM19"/>
    <mergeCell ref="AR19:AS19"/>
    <mergeCell ref="AT19:AU19"/>
    <mergeCell ref="AZ19:BD19"/>
    <mergeCell ref="BI19:BJ19"/>
    <mergeCell ref="BK19:BL19"/>
    <mergeCell ref="BP19:BT19"/>
    <mergeCell ref="BY19:BZ19"/>
    <mergeCell ref="CA19:CB19"/>
    <mergeCell ref="CG19:CK19"/>
    <mergeCell ref="CP19:CQ19"/>
    <mergeCell ref="CR19:CS19"/>
    <mergeCell ref="CW19:DA19"/>
    <mergeCell ref="DF19:DG19"/>
    <mergeCell ref="DH19:DI19"/>
    <mergeCell ref="DN19:DR19"/>
    <mergeCell ref="DW19:DX19"/>
    <mergeCell ref="KX18:KY18"/>
    <mergeCell ref="LD18:LH18"/>
    <mergeCell ref="LM18:LN18"/>
    <mergeCell ref="LO18:LP18"/>
    <mergeCell ref="JA18:JB18"/>
    <mergeCell ref="JF18:JJ18"/>
    <mergeCell ref="JO18:JP18"/>
    <mergeCell ref="JQ18:JR18"/>
    <mergeCell ref="JW18:KA18"/>
    <mergeCell ref="KF18:KG18"/>
    <mergeCell ref="KH18:KI18"/>
    <mergeCell ref="KM18:KQ18"/>
    <mergeCell ref="KV18:KW18"/>
    <mergeCell ref="HC18:HD18"/>
    <mergeCell ref="HI18:HM18"/>
    <mergeCell ref="HR18:HS18"/>
    <mergeCell ref="HT18:HU18"/>
    <mergeCell ref="HY18:IC18"/>
    <mergeCell ref="IH18:II18"/>
    <mergeCell ref="IJ18:IK18"/>
    <mergeCell ref="IP18:IT18"/>
    <mergeCell ref="IY18:IZ18"/>
    <mergeCell ref="FF18:FG18"/>
    <mergeCell ref="FK18:FO18"/>
    <mergeCell ref="FT18:FU18"/>
    <mergeCell ref="FV18:FW18"/>
    <mergeCell ref="GB18:GF18"/>
    <mergeCell ref="GK18:GL18"/>
    <mergeCell ref="GM18:GN18"/>
    <mergeCell ref="GR18:GV18"/>
    <mergeCell ref="HA18:HB18"/>
    <mergeCell ref="AI18:AM18"/>
    <mergeCell ref="AR18:AS18"/>
    <mergeCell ref="AT18:AU18"/>
    <mergeCell ref="AZ18:BD18"/>
    <mergeCell ref="BI18:BJ18"/>
    <mergeCell ref="BK18:BL18"/>
    <mergeCell ref="BP18:BT18"/>
    <mergeCell ref="BY18:BZ18"/>
    <mergeCell ref="CA18:CB18"/>
    <mergeCell ref="CG18:CK18"/>
    <mergeCell ref="CP18:CQ18"/>
    <mergeCell ref="CR18:CS18"/>
    <mergeCell ref="CW18:DA18"/>
    <mergeCell ref="DF18:DG18"/>
    <mergeCell ref="DH18:DI18"/>
    <mergeCell ref="DN18:DR18"/>
    <mergeCell ref="DW18:DX18"/>
    <mergeCell ref="DY18:DZ18"/>
    <mergeCell ref="ED18:EH18"/>
    <mergeCell ref="EM18:EN18"/>
    <mergeCell ref="EO18:EP18"/>
    <mergeCell ref="EU18:EY18"/>
    <mergeCell ref="FD18:FE18"/>
    <mergeCell ref="KH17:KI17"/>
    <mergeCell ref="KM17:KQ17"/>
    <mergeCell ref="KV17:KW17"/>
    <mergeCell ref="KX17:KY17"/>
    <mergeCell ref="LD17:LH17"/>
    <mergeCell ref="LM17:LN17"/>
    <mergeCell ref="LO17:LP17"/>
    <mergeCell ref="IJ17:IK17"/>
    <mergeCell ref="IP17:IT17"/>
    <mergeCell ref="IY17:IZ17"/>
    <mergeCell ref="JA17:JB17"/>
    <mergeCell ref="JF17:JJ17"/>
    <mergeCell ref="JO17:JP17"/>
    <mergeCell ref="JQ17:JR17"/>
    <mergeCell ref="JW17:KA17"/>
    <mergeCell ref="KF17:KG17"/>
    <mergeCell ref="GM17:GN17"/>
    <mergeCell ref="GR17:GV17"/>
    <mergeCell ref="HA17:HB17"/>
    <mergeCell ref="HC17:HD17"/>
    <mergeCell ref="HI17:HM17"/>
    <mergeCell ref="HR17:HS17"/>
    <mergeCell ref="HT17:HU17"/>
    <mergeCell ref="HY17:IC17"/>
    <mergeCell ref="IH17:II17"/>
    <mergeCell ref="EO17:EP17"/>
    <mergeCell ref="EU17:EY17"/>
    <mergeCell ref="FD17:FE17"/>
    <mergeCell ref="FF17:FG17"/>
    <mergeCell ref="FK17:FO17"/>
    <mergeCell ref="FT17:FU17"/>
    <mergeCell ref="FV17:FW17"/>
    <mergeCell ref="GB17:GF17"/>
    <mergeCell ref="GK17:GL17"/>
    <mergeCell ref="AI17:AM17"/>
    <mergeCell ref="AR17:AS17"/>
    <mergeCell ref="AT17:AU17"/>
    <mergeCell ref="AZ17:BD17"/>
    <mergeCell ref="BI17:BJ17"/>
    <mergeCell ref="BK17:BL17"/>
    <mergeCell ref="BP17:BT17"/>
    <mergeCell ref="BY17:BZ17"/>
    <mergeCell ref="CA17:CB17"/>
    <mergeCell ref="CG17:CK17"/>
    <mergeCell ref="CP17:CQ17"/>
    <mergeCell ref="CR17:CS17"/>
    <mergeCell ref="CW17:DA17"/>
    <mergeCell ref="DF17:DG17"/>
    <mergeCell ref="DH17:DI17"/>
    <mergeCell ref="DN17:DR17"/>
    <mergeCell ref="DW17:DX17"/>
    <mergeCell ref="DY17:DZ17"/>
    <mergeCell ref="ED17:EH17"/>
    <mergeCell ref="EM17:EN17"/>
    <mergeCell ref="LO16:LP16"/>
    <mergeCell ref="JQ16:JR16"/>
    <mergeCell ref="JW16:KA16"/>
    <mergeCell ref="KF16:KG16"/>
    <mergeCell ref="KH16:KI16"/>
    <mergeCell ref="KM16:KQ16"/>
    <mergeCell ref="KV16:KW16"/>
    <mergeCell ref="KX16:KY16"/>
    <mergeCell ref="LD16:LH16"/>
    <mergeCell ref="LM16:LN16"/>
    <mergeCell ref="HT16:HU16"/>
    <mergeCell ref="HY16:IC16"/>
    <mergeCell ref="IH16:II16"/>
    <mergeCell ref="IJ16:IK16"/>
    <mergeCell ref="IP16:IT16"/>
    <mergeCell ref="IY16:IZ16"/>
    <mergeCell ref="JA16:JB16"/>
    <mergeCell ref="JF16:JJ16"/>
    <mergeCell ref="JO16:JP16"/>
    <mergeCell ref="FV16:FW16"/>
    <mergeCell ref="GB16:GF16"/>
    <mergeCell ref="GK16:GL16"/>
    <mergeCell ref="GM16:GN16"/>
    <mergeCell ref="GR16:GV16"/>
    <mergeCell ref="HA16:HB16"/>
    <mergeCell ref="HC16:HD16"/>
    <mergeCell ref="HI16:HM16"/>
    <mergeCell ref="HR16:HS16"/>
    <mergeCell ref="DY16:DZ16"/>
    <mergeCell ref="ED16:EH16"/>
    <mergeCell ref="EM16:EN16"/>
    <mergeCell ref="EO16:EP16"/>
    <mergeCell ref="EU16:EY16"/>
    <mergeCell ref="FD16:FE16"/>
    <mergeCell ref="FF16:FG16"/>
    <mergeCell ref="FK16:FO16"/>
    <mergeCell ref="FT16:FU16"/>
    <mergeCell ref="AI16:AM16"/>
    <mergeCell ref="AR16:AS16"/>
    <mergeCell ref="AT16:AU16"/>
    <mergeCell ref="AZ16:BD16"/>
    <mergeCell ref="BI16:BJ16"/>
    <mergeCell ref="BK16:BL16"/>
    <mergeCell ref="BP16:BT16"/>
    <mergeCell ref="BY16:BZ16"/>
    <mergeCell ref="CA16:CB16"/>
    <mergeCell ref="CG16:CK16"/>
    <mergeCell ref="CP16:CQ16"/>
    <mergeCell ref="CR16:CS16"/>
    <mergeCell ref="CW16:DA16"/>
    <mergeCell ref="DF16:DG16"/>
    <mergeCell ref="DH16:DI16"/>
    <mergeCell ref="DN16:DR16"/>
    <mergeCell ref="DW16:DX16"/>
    <mergeCell ref="KX15:KY15"/>
    <mergeCell ref="LD15:LH15"/>
    <mergeCell ref="LM15:LN15"/>
    <mergeCell ref="LO15:LP15"/>
    <mergeCell ref="JA15:JB15"/>
    <mergeCell ref="JF15:JJ15"/>
    <mergeCell ref="JO15:JP15"/>
    <mergeCell ref="JQ15:JR15"/>
    <mergeCell ref="JW15:KA15"/>
    <mergeCell ref="KF15:KG15"/>
    <mergeCell ref="KH15:KI15"/>
    <mergeCell ref="KM15:KQ15"/>
    <mergeCell ref="KV15:KW15"/>
    <mergeCell ref="HC15:HD15"/>
    <mergeCell ref="HI15:HM15"/>
    <mergeCell ref="HR15:HS15"/>
    <mergeCell ref="HT15:HU15"/>
    <mergeCell ref="HY15:IC15"/>
    <mergeCell ref="IH15:II15"/>
    <mergeCell ref="IJ15:IK15"/>
    <mergeCell ref="IP15:IT15"/>
    <mergeCell ref="IY15:IZ15"/>
    <mergeCell ref="FF15:FG15"/>
    <mergeCell ref="FK15:FO15"/>
    <mergeCell ref="FT15:FU15"/>
    <mergeCell ref="FV15:FW15"/>
    <mergeCell ref="GB15:GF15"/>
    <mergeCell ref="GK15:GL15"/>
    <mergeCell ref="GM15:GN15"/>
    <mergeCell ref="GR15:GV15"/>
    <mergeCell ref="HA15:HB15"/>
    <mergeCell ref="AI15:AM15"/>
    <mergeCell ref="AR15:AS15"/>
    <mergeCell ref="AT15:AU15"/>
    <mergeCell ref="AZ15:BD15"/>
    <mergeCell ref="BI15:BJ15"/>
    <mergeCell ref="BK15:BL15"/>
    <mergeCell ref="BP15:BT15"/>
    <mergeCell ref="BY15:BZ15"/>
    <mergeCell ref="CA15:CB15"/>
    <mergeCell ref="CG15:CK15"/>
    <mergeCell ref="CP15:CQ15"/>
    <mergeCell ref="CR15:CS15"/>
    <mergeCell ref="CW15:DA15"/>
    <mergeCell ref="DF15:DG15"/>
    <mergeCell ref="DH15:DI15"/>
    <mergeCell ref="DN15:DR15"/>
    <mergeCell ref="DW15:DX15"/>
    <mergeCell ref="DY15:DZ15"/>
    <mergeCell ref="ED15:EH15"/>
    <mergeCell ref="EM15:EN15"/>
    <mergeCell ref="EO15:EP15"/>
    <mergeCell ref="EU15:EY15"/>
    <mergeCell ref="FD15:FE15"/>
    <mergeCell ref="KH14:KI14"/>
    <mergeCell ref="KM14:KQ14"/>
    <mergeCell ref="KV14:KW14"/>
    <mergeCell ref="KX14:KY14"/>
    <mergeCell ref="LD14:LH14"/>
    <mergeCell ref="LM14:LN14"/>
    <mergeCell ref="LO14:LP14"/>
    <mergeCell ref="IJ14:IK14"/>
    <mergeCell ref="IP14:IT14"/>
    <mergeCell ref="IY14:IZ14"/>
    <mergeCell ref="JA14:JB14"/>
    <mergeCell ref="JF14:JJ14"/>
    <mergeCell ref="JO14:JP14"/>
    <mergeCell ref="JQ14:JR14"/>
    <mergeCell ref="JW14:KA14"/>
    <mergeCell ref="KF14:KG14"/>
    <mergeCell ref="GM14:GN14"/>
    <mergeCell ref="GR14:GV14"/>
    <mergeCell ref="HA14:HB14"/>
    <mergeCell ref="HC14:HD14"/>
    <mergeCell ref="HI14:HM14"/>
    <mergeCell ref="HR14:HS14"/>
    <mergeCell ref="HT14:HU14"/>
    <mergeCell ref="HY14:IC14"/>
    <mergeCell ref="IH14:II14"/>
    <mergeCell ref="EO14:EP14"/>
    <mergeCell ref="EU14:EY14"/>
    <mergeCell ref="FD14:FE14"/>
    <mergeCell ref="FF14:FG14"/>
    <mergeCell ref="FK14:FO14"/>
    <mergeCell ref="FT14:FU14"/>
    <mergeCell ref="FV14:FW14"/>
    <mergeCell ref="GB14:GF14"/>
    <mergeCell ref="GK14:GL14"/>
    <mergeCell ref="AI14:AM14"/>
    <mergeCell ref="AR14:AS14"/>
    <mergeCell ref="AT14:AU14"/>
    <mergeCell ref="AZ14:BD14"/>
    <mergeCell ref="BI14:BJ14"/>
    <mergeCell ref="BK14:BL14"/>
    <mergeCell ref="BP14:BT14"/>
    <mergeCell ref="BY14:BZ14"/>
    <mergeCell ref="CA14:CB14"/>
    <mergeCell ref="CG14:CK14"/>
    <mergeCell ref="CP14:CQ14"/>
    <mergeCell ref="CR14:CS14"/>
    <mergeCell ref="CW14:DA14"/>
    <mergeCell ref="DF14:DG14"/>
    <mergeCell ref="DH14:DI14"/>
    <mergeCell ref="DN14:DR14"/>
    <mergeCell ref="DW14:DX14"/>
    <mergeCell ref="DY14:DZ14"/>
    <mergeCell ref="ED14:EH14"/>
    <mergeCell ref="EM14:EN14"/>
    <mergeCell ref="LM12:LN13"/>
    <mergeCell ref="LO12:LP13"/>
    <mergeCell ref="KH12:KI13"/>
    <mergeCell ref="KJ12:KJ13"/>
    <mergeCell ref="KM12:KQ13"/>
    <mergeCell ref="KR12:KU12"/>
    <mergeCell ref="KV12:KW13"/>
    <mergeCell ref="KX12:KY13"/>
    <mergeCell ref="KZ12:KZ13"/>
    <mergeCell ref="LD12:LH13"/>
    <mergeCell ref="LI12:LL12"/>
    <mergeCell ref="IY12:IZ13"/>
    <mergeCell ref="JA12:JB13"/>
    <mergeCell ref="JF12:JJ13"/>
    <mergeCell ref="JK12:JN12"/>
    <mergeCell ref="JO12:JP13"/>
    <mergeCell ref="JQ12:JR13"/>
    <mergeCell ref="JW12:KA13"/>
    <mergeCell ref="KB12:KE12"/>
    <mergeCell ref="KF12:KG13"/>
    <mergeCell ref="HN12:HQ12"/>
    <mergeCell ref="HR12:HS13"/>
    <mergeCell ref="HT12:HU13"/>
    <mergeCell ref="HY12:IC13"/>
    <mergeCell ref="ID12:IG12"/>
    <mergeCell ref="IH12:II13"/>
    <mergeCell ref="IJ12:IK13"/>
    <mergeCell ref="IP12:IT13"/>
    <mergeCell ref="IU12:IX12"/>
    <mergeCell ref="GB12:GF13"/>
    <mergeCell ref="GG12:GJ12"/>
    <mergeCell ref="GK12:GL13"/>
    <mergeCell ref="GM12:GN13"/>
    <mergeCell ref="GR12:GV13"/>
    <mergeCell ref="GW12:GZ12"/>
    <mergeCell ref="HA12:HB13"/>
    <mergeCell ref="HC12:HD13"/>
    <mergeCell ref="HI12:HM13"/>
    <mergeCell ref="EO12:EP13"/>
    <mergeCell ref="EU12:EY13"/>
    <mergeCell ref="EZ12:FC12"/>
    <mergeCell ref="FD12:FE13"/>
    <mergeCell ref="FF12:FG13"/>
    <mergeCell ref="FK12:FO13"/>
    <mergeCell ref="FP12:FS12"/>
    <mergeCell ref="FT12:FU13"/>
    <mergeCell ref="FV12:FW13"/>
    <mergeCell ref="DF12:DG13"/>
    <mergeCell ref="DH12:DI13"/>
    <mergeCell ref="DN12:DR13"/>
    <mergeCell ref="DS12:DV12"/>
    <mergeCell ref="DW12:DX13"/>
    <mergeCell ref="DY12:DZ13"/>
    <mergeCell ref="ED12:EH13"/>
    <mergeCell ref="EI12:EL12"/>
    <mergeCell ref="EM12:EN13"/>
    <mergeCell ref="AI12:AM13"/>
    <mergeCell ref="AN12:AQ12"/>
    <mergeCell ref="AR12:AS13"/>
    <mergeCell ref="AT12:AU13"/>
    <mergeCell ref="AZ12:BD13"/>
    <mergeCell ref="BE12:BH12"/>
    <mergeCell ref="BI12:BJ13"/>
    <mergeCell ref="BK12:BL13"/>
    <mergeCell ref="BP12:BT13"/>
    <mergeCell ref="BU12:BX12"/>
    <mergeCell ref="BY12:BZ13"/>
    <mergeCell ref="CA12:CB13"/>
    <mergeCell ref="CG12:CK13"/>
    <mergeCell ref="CL12:CO12"/>
    <mergeCell ref="CP12:CQ13"/>
    <mergeCell ref="CR12:CS13"/>
    <mergeCell ref="CW12:DA13"/>
    <mergeCell ref="DB12:DE12"/>
    <mergeCell ref="KL10:KM10"/>
    <mergeCell ref="KN10:KR10"/>
    <mergeCell ref="KU10:KV10"/>
    <mergeCell ref="KW10:KZ10"/>
    <mergeCell ref="LC10:LD10"/>
    <mergeCell ref="LE10:LI10"/>
    <mergeCell ref="LL10:LM10"/>
    <mergeCell ref="LN10:LQ10"/>
    <mergeCell ref="IZ10:JC10"/>
    <mergeCell ref="JE10:JF10"/>
    <mergeCell ref="JG10:JK10"/>
    <mergeCell ref="JN10:JO10"/>
    <mergeCell ref="JP10:JS10"/>
    <mergeCell ref="JV10:JW10"/>
    <mergeCell ref="JX10:KB10"/>
    <mergeCell ref="KE10:KF10"/>
    <mergeCell ref="KG10:KJ10"/>
    <mergeCell ref="HQ10:HR10"/>
    <mergeCell ref="HS10:HV10"/>
    <mergeCell ref="HX10:HY10"/>
    <mergeCell ref="HZ10:ID10"/>
    <mergeCell ref="IG10:IH10"/>
    <mergeCell ref="II10:IL10"/>
    <mergeCell ref="IO10:IP10"/>
    <mergeCell ref="IQ10:IU10"/>
    <mergeCell ref="IX10:IY10"/>
    <mergeCell ref="GC10:GG10"/>
    <mergeCell ref="GJ10:GK10"/>
    <mergeCell ref="GL10:GO10"/>
    <mergeCell ref="GQ10:GR10"/>
    <mergeCell ref="GS10:GW10"/>
    <mergeCell ref="GZ10:HA10"/>
    <mergeCell ref="HB10:HE10"/>
    <mergeCell ref="HH10:HI10"/>
    <mergeCell ref="HJ10:HN10"/>
    <mergeCell ref="ET10:EU10"/>
    <mergeCell ref="EV10:EZ10"/>
    <mergeCell ref="FC10:FD10"/>
    <mergeCell ref="FE10:FH10"/>
    <mergeCell ref="FJ10:FK10"/>
    <mergeCell ref="FL10:FP10"/>
    <mergeCell ref="FS10:FT10"/>
    <mergeCell ref="FU10:FX10"/>
    <mergeCell ref="GA10:GB10"/>
    <mergeCell ref="DG10:DJ10"/>
    <mergeCell ref="DM10:DN10"/>
    <mergeCell ref="DO10:DS10"/>
    <mergeCell ref="DV10:DW10"/>
    <mergeCell ref="DX10:EA10"/>
    <mergeCell ref="EC10:ED10"/>
    <mergeCell ref="EE10:EI10"/>
    <mergeCell ref="EL10:EM10"/>
    <mergeCell ref="EN10:EQ10"/>
    <mergeCell ref="AH10:AI10"/>
    <mergeCell ref="AJ10:AN10"/>
    <mergeCell ref="AQ10:AR10"/>
    <mergeCell ref="AS10:AV10"/>
    <mergeCell ref="AY10:AZ10"/>
    <mergeCell ref="BA10:BE10"/>
    <mergeCell ref="BH10:BI10"/>
    <mergeCell ref="BJ10:BM10"/>
    <mergeCell ref="BO10:BP10"/>
    <mergeCell ref="BQ10:BU10"/>
    <mergeCell ref="BX10:BY10"/>
    <mergeCell ref="BZ10:CC10"/>
    <mergeCell ref="CF10:CG10"/>
    <mergeCell ref="CH10:CL10"/>
    <mergeCell ref="CO10:CP10"/>
    <mergeCell ref="CQ10:CT10"/>
    <mergeCell ref="CV10:CW10"/>
    <mergeCell ref="CX10:DB10"/>
    <mergeCell ref="DE10:DF10"/>
    <mergeCell ref="GL9:GO9"/>
    <mergeCell ref="GQ9:GR9"/>
    <mergeCell ref="GS9:GW9"/>
    <mergeCell ref="GZ9:HA9"/>
    <mergeCell ref="HB9:HE9"/>
    <mergeCell ref="HH9:HI9"/>
    <mergeCell ref="KG9:KJ9"/>
    <mergeCell ref="KL9:KM9"/>
    <mergeCell ref="KN9:KR9"/>
    <mergeCell ref="KU9:KV9"/>
    <mergeCell ref="KW9:KZ9"/>
    <mergeCell ref="LC9:LD9"/>
    <mergeCell ref="LE9:LI9"/>
    <mergeCell ref="LL9:LM9"/>
    <mergeCell ref="LN9:LQ9"/>
    <mergeCell ref="IX9:IY9"/>
    <mergeCell ref="IZ9:JC9"/>
    <mergeCell ref="JE9:JF9"/>
    <mergeCell ref="JG9:JK9"/>
    <mergeCell ref="JN9:JO9"/>
    <mergeCell ref="JP9:JS9"/>
    <mergeCell ref="JV9:JW9"/>
    <mergeCell ref="JX9:KB9"/>
    <mergeCell ref="KE9:KF9"/>
    <mergeCell ref="EN9:EQ9"/>
    <mergeCell ref="ET9:EU9"/>
    <mergeCell ref="EV9:EZ9"/>
    <mergeCell ref="FC9:FD9"/>
    <mergeCell ref="FE9:FH9"/>
    <mergeCell ref="FJ9:FK9"/>
    <mergeCell ref="FL9:FP9"/>
    <mergeCell ref="FS9:FT9"/>
    <mergeCell ref="FU9:FX9"/>
    <mergeCell ref="DE9:DF9"/>
    <mergeCell ref="DG9:DJ9"/>
    <mergeCell ref="DM9:DN9"/>
    <mergeCell ref="DO9:DS9"/>
    <mergeCell ref="DV9:DW9"/>
    <mergeCell ref="DX9:EA9"/>
    <mergeCell ref="EC9:ED9"/>
    <mergeCell ref="EE9:EI9"/>
    <mergeCell ref="EL9:EM9"/>
    <mergeCell ref="HJ9:HN9"/>
    <mergeCell ref="HQ9:HR9"/>
    <mergeCell ref="HS9:HV9"/>
    <mergeCell ref="HX9:HY9"/>
    <mergeCell ref="HZ9:ID9"/>
    <mergeCell ref="IG9:IH9"/>
    <mergeCell ref="II9:IL9"/>
    <mergeCell ref="IO9:IP9"/>
    <mergeCell ref="IQ9:IU9"/>
    <mergeCell ref="GA9:GB9"/>
    <mergeCell ref="GC9:GG9"/>
    <mergeCell ref="GJ9:GK9"/>
    <mergeCell ref="AH9:AI9"/>
    <mergeCell ref="AJ9:AN9"/>
    <mergeCell ref="AQ9:AR9"/>
    <mergeCell ref="AS9:AV9"/>
    <mergeCell ref="AY9:AZ9"/>
    <mergeCell ref="BA9:BE9"/>
    <mergeCell ref="BH9:BI9"/>
    <mergeCell ref="BJ9:BM9"/>
    <mergeCell ref="BO9:BP9"/>
    <mergeCell ref="BQ9:BU9"/>
    <mergeCell ref="BX9:BY9"/>
    <mergeCell ref="BZ9:CC9"/>
    <mergeCell ref="CF9:CG9"/>
    <mergeCell ref="CH9:CL9"/>
    <mergeCell ref="CO9:CP9"/>
    <mergeCell ref="CQ9:CT9"/>
    <mergeCell ref="CV9:CW9"/>
    <mergeCell ref="CX9:DB9"/>
    <mergeCell ref="LN8:LO8"/>
    <mergeCell ref="LE8:LK8"/>
    <mergeCell ref="LL8:LM8"/>
    <mergeCell ref="IQ8:IW8"/>
    <mergeCell ref="IX8:IY8"/>
    <mergeCell ref="IZ8:JA8"/>
    <mergeCell ref="JE8:JF8"/>
    <mergeCell ref="JG8:JM8"/>
    <mergeCell ref="JN8:JO8"/>
    <mergeCell ref="JP8:JQ8"/>
    <mergeCell ref="JV8:JW8"/>
    <mergeCell ref="JX8:KD8"/>
    <mergeCell ref="IO8:IP8"/>
    <mergeCell ref="FU8:FV8"/>
    <mergeCell ref="GA8:GB8"/>
    <mergeCell ref="GC8:GI8"/>
    <mergeCell ref="GJ8:GK8"/>
    <mergeCell ref="GL8:GM8"/>
    <mergeCell ref="GQ8:GR8"/>
    <mergeCell ref="GS8:GY8"/>
    <mergeCell ref="GZ8:HA8"/>
    <mergeCell ref="HB8:HC8"/>
    <mergeCell ref="KE8:KF8"/>
    <mergeCell ref="KG8:KH8"/>
    <mergeCell ref="KL8:KM8"/>
    <mergeCell ref="KN8:KT8"/>
    <mergeCell ref="KU8:KV8"/>
    <mergeCell ref="KW8:KX8"/>
    <mergeCell ref="LC8:LD8"/>
    <mergeCell ref="AH8:AI8"/>
    <mergeCell ref="AJ8:AP8"/>
    <mergeCell ref="AQ8:AR8"/>
    <mergeCell ref="AS8:AT8"/>
    <mergeCell ref="AY8:AZ8"/>
    <mergeCell ref="BA8:BG8"/>
    <mergeCell ref="BH8:BI8"/>
    <mergeCell ref="BJ8:BK8"/>
    <mergeCell ref="EL8:EM8"/>
    <mergeCell ref="EN8:EO8"/>
    <mergeCell ref="ET8:EU8"/>
    <mergeCell ref="EV8:FB8"/>
    <mergeCell ref="FC8:FD8"/>
    <mergeCell ref="FE8:FF8"/>
    <mergeCell ref="FJ8:FK8"/>
    <mergeCell ref="FL8:FR8"/>
    <mergeCell ref="FS8:FT8"/>
    <mergeCell ref="CX8:DD8"/>
    <mergeCell ref="DE8:DF8"/>
    <mergeCell ref="DG8:DH8"/>
    <mergeCell ref="DM8:DN8"/>
    <mergeCell ref="DO8:DU8"/>
    <mergeCell ref="DV8:DW8"/>
    <mergeCell ref="DX8:DY8"/>
    <mergeCell ref="EC8:ED8"/>
    <mergeCell ref="EE8:EK8"/>
    <mergeCell ref="BO8:BP8"/>
    <mergeCell ref="BQ8:BW8"/>
    <mergeCell ref="BX8:BY8"/>
    <mergeCell ref="BZ8:CA8"/>
    <mergeCell ref="CF8:CG8"/>
    <mergeCell ref="CH8:CN8"/>
    <mergeCell ref="CO8:CP8"/>
    <mergeCell ref="CQ8:CR8"/>
    <mergeCell ref="CV8:CW8"/>
    <mergeCell ref="HH8:HI8"/>
    <mergeCell ref="HJ8:HP8"/>
    <mergeCell ref="HQ8:HR8"/>
    <mergeCell ref="HS8:HT8"/>
    <mergeCell ref="HX8:HY8"/>
    <mergeCell ref="HZ8:IF8"/>
    <mergeCell ref="IG8:IH8"/>
    <mergeCell ref="II8:IJ8"/>
    <mergeCell ref="AI7:AW7"/>
    <mergeCell ref="AZ7:BN7"/>
    <mergeCell ref="BP7:CD7"/>
    <mergeCell ref="CG7:CU7"/>
    <mergeCell ref="CW7:DK7"/>
    <mergeCell ref="DN7:EB7"/>
    <mergeCell ref="ED7:ER7"/>
    <mergeCell ref="EU7:FI7"/>
    <mergeCell ref="FK7:FY7"/>
    <mergeCell ref="GB7:GP7"/>
    <mergeCell ref="GR7:HF7"/>
    <mergeCell ref="HI7:HW7"/>
    <mergeCell ref="HY7:IM7"/>
    <mergeCell ref="IP7:JD7"/>
    <mergeCell ref="JF7:JT7"/>
    <mergeCell ref="JW7:KK7"/>
    <mergeCell ref="LF5:LR5"/>
    <mergeCell ref="KM7:LA7"/>
    <mergeCell ref="LD7:LR7"/>
    <mergeCell ref="AK5:AW5"/>
    <mergeCell ref="BB5:BN5"/>
    <mergeCell ref="BR5:CD5"/>
    <mergeCell ref="CI5:CU5"/>
    <mergeCell ref="CY5:DK5"/>
    <mergeCell ref="DP5:EB5"/>
    <mergeCell ref="EF5:ER5"/>
    <mergeCell ref="EW5:FI5"/>
    <mergeCell ref="FM5:FY5"/>
    <mergeCell ref="GD5:GP5"/>
    <mergeCell ref="GT5:HF5"/>
    <mergeCell ref="HK5:HW5"/>
    <mergeCell ref="IA5:IM5"/>
    <mergeCell ref="IR5:JD5"/>
    <mergeCell ref="JH5:JT5"/>
    <mergeCell ref="JY5:KK5"/>
    <mergeCell ref="KO5:LA5"/>
    <mergeCell ref="AK4:AW4"/>
    <mergeCell ref="BB4:BN4"/>
    <mergeCell ref="BR4:CD4"/>
    <mergeCell ref="CI4:CU4"/>
    <mergeCell ref="CY4:DK4"/>
    <mergeCell ref="DP4:EB4"/>
    <mergeCell ref="EF4:ER4"/>
    <mergeCell ref="EW4:FI4"/>
    <mergeCell ref="FM4:FY4"/>
    <mergeCell ref="GD4:GP4"/>
    <mergeCell ref="GT4:HF4"/>
    <mergeCell ref="HK4:HW4"/>
    <mergeCell ref="IA4:IM4"/>
    <mergeCell ref="IR4:JD4"/>
    <mergeCell ref="JH4:JT4"/>
    <mergeCell ref="JY4:KK4"/>
    <mergeCell ref="KO4:LA4"/>
    <mergeCell ref="LF4:LR4"/>
    <mergeCell ref="AK3:AW3"/>
    <mergeCell ref="BB3:BN3"/>
    <mergeCell ref="BR3:CD3"/>
    <mergeCell ref="CI3:CU3"/>
    <mergeCell ref="CY3:DK3"/>
    <mergeCell ref="DP3:EB3"/>
    <mergeCell ref="EF3:ER3"/>
    <mergeCell ref="EW3:FI3"/>
    <mergeCell ref="FM3:FY3"/>
    <mergeCell ref="GD3:GP3"/>
    <mergeCell ref="GT3:HF3"/>
    <mergeCell ref="HK3:HW3"/>
    <mergeCell ref="IA3:IM3"/>
    <mergeCell ref="IR3:JD3"/>
    <mergeCell ref="JH3:JT3"/>
    <mergeCell ref="JY3:KK3"/>
    <mergeCell ref="KO3:LA3"/>
    <mergeCell ref="LF3:LR3"/>
    <mergeCell ref="KO2:LA2"/>
    <mergeCell ref="LF2:LR2"/>
    <mergeCell ref="AK2:AW2"/>
    <mergeCell ref="BB2:BN2"/>
    <mergeCell ref="BR2:CD2"/>
    <mergeCell ref="CI2:CU2"/>
    <mergeCell ref="CY2:DK2"/>
    <mergeCell ref="DP2:EB2"/>
    <mergeCell ref="EF2:ER2"/>
    <mergeCell ref="EW2:FI2"/>
    <mergeCell ref="FM2:FY2"/>
    <mergeCell ref="GD2:GP2"/>
    <mergeCell ref="GT2:HF2"/>
    <mergeCell ref="HK2:HW2"/>
    <mergeCell ref="IA2:IM2"/>
    <mergeCell ref="IR2:JD2"/>
    <mergeCell ref="JH2:JT2"/>
    <mergeCell ref="JY2:KK2"/>
    <mergeCell ref="GK1:GO1"/>
    <mergeCell ref="HA1:HE1"/>
    <mergeCell ref="HR1:HV1"/>
    <mergeCell ref="IH1:IL1"/>
    <mergeCell ref="IY1:JC1"/>
    <mergeCell ref="JO1:JS1"/>
    <mergeCell ref="KF1:KJ1"/>
    <mergeCell ref="KV1:KZ1"/>
    <mergeCell ref="LM1:LQ1"/>
    <mergeCell ref="AR1:AV1"/>
    <mergeCell ref="BI1:BM1"/>
    <mergeCell ref="BY1:CC1"/>
    <mergeCell ref="CP1:CT1"/>
    <mergeCell ref="DF1:DJ1"/>
    <mergeCell ref="DW1:EA1"/>
    <mergeCell ref="EM1:EQ1"/>
    <mergeCell ref="FD1:FH1"/>
    <mergeCell ref="FT1:FX1"/>
    <mergeCell ref="B37:P37"/>
    <mergeCell ref="B39:G39"/>
    <mergeCell ref="I40:P40"/>
    <mergeCell ref="I41:P41"/>
    <mergeCell ref="D32:O32"/>
    <mergeCell ref="C33:G33"/>
    <mergeCell ref="A34:G34"/>
    <mergeCell ref="I34:P34"/>
    <mergeCell ref="A35:G35"/>
    <mergeCell ref="I35:P35"/>
    <mergeCell ref="B23:F23"/>
    <mergeCell ref="K23:L23"/>
    <mergeCell ref="M23:N23"/>
    <mergeCell ref="E31:O31"/>
    <mergeCell ref="K24:L24"/>
    <mergeCell ref="B25:P25"/>
    <mergeCell ref="A26:B26"/>
    <mergeCell ref="O26:P26"/>
    <mergeCell ref="A27:B27"/>
    <mergeCell ref="O27:P27"/>
    <mergeCell ref="A28:B28"/>
    <mergeCell ref="O28:P28"/>
    <mergeCell ref="A29:B29"/>
    <mergeCell ref="O29:P29"/>
    <mergeCell ref="H30:O30"/>
    <mergeCell ref="B20:F20"/>
    <mergeCell ref="K20:L20"/>
    <mergeCell ref="M20:N20"/>
    <mergeCell ref="B21:F21"/>
    <mergeCell ref="K21:L21"/>
    <mergeCell ref="M21:N21"/>
    <mergeCell ref="B22:F22"/>
    <mergeCell ref="K22:L22"/>
    <mergeCell ref="M22:N22"/>
    <mergeCell ref="B17:F17"/>
    <mergeCell ref="K17:L17"/>
    <mergeCell ref="M17:N17"/>
    <mergeCell ref="B18:F18"/>
    <mergeCell ref="K18:L18"/>
    <mergeCell ref="M18:N18"/>
    <mergeCell ref="B19:F19"/>
    <mergeCell ref="K19:L19"/>
    <mergeCell ref="M19:N19"/>
    <mergeCell ref="B14:F14"/>
    <mergeCell ref="K14:L14"/>
    <mergeCell ref="M14:N14"/>
    <mergeCell ref="B15:F15"/>
    <mergeCell ref="K15:L15"/>
    <mergeCell ref="M15:N15"/>
    <mergeCell ref="B16:F16"/>
    <mergeCell ref="K16:L16"/>
    <mergeCell ref="M16:N16"/>
    <mergeCell ref="J9:K9"/>
    <mergeCell ref="L9:O9"/>
    <mergeCell ref="A10:B10"/>
    <mergeCell ref="C10:G10"/>
    <mergeCell ref="J10:K10"/>
    <mergeCell ref="L10:O10"/>
    <mergeCell ref="B12:F13"/>
    <mergeCell ref="G12:J12"/>
    <mergeCell ref="K12:L13"/>
    <mergeCell ref="M12:N13"/>
    <mergeCell ref="R8:S8"/>
    <mergeCell ref="T8:Z8"/>
    <mergeCell ref="AC8:AD8"/>
    <mergeCell ref="R9:S9"/>
    <mergeCell ref="T9:X9"/>
    <mergeCell ref="AA9:AB9"/>
    <mergeCell ref="AC9:AF9"/>
    <mergeCell ref="B7:P7"/>
    <mergeCell ref="AB1:AF1"/>
    <mergeCell ref="U2:AG2"/>
    <mergeCell ref="U3:AG3"/>
    <mergeCell ref="U4:AG4"/>
    <mergeCell ref="U5:AG5"/>
    <mergeCell ref="S7:AG7"/>
    <mergeCell ref="K1:O1"/>
    <mergeCell ref="D2:P2"/>
    <mergeCell ref="D3:P3"/>
    <mergeCell ref="D4:P4"/>
    <mergeCell ref="D5:P5"/>
    <mergeCell ref="A8:B8"/>
    <mergeCell ref="C8:I8"/>
    <mergeCell ref="L8:M8"/>
    <mergeCell ref="A9:B9"/>
    <mergeCell ref="C9:G9"/>
    <mergeCell ref="AA8:AB8"/>
    <mergeCell ref="S14:W14"/>
    <mergeCell ref="AB14:AC14"/>
    <mergeCell ref="AD14:AE14"/>
    <mergeCell ref="S15:W15"/>
    <mergeCell ref="AB15:AC15"/>
    <mergeCell ref="AD15:AE15"/>
    <mergeCell ref="R10:S10"/>
    <mergeCell ref="T10:X10"/>
    <mergeCell ref="AA10:AB10"/>
    <mergeCell ref="AC10:AF10"/>
    <mergeCell ref="S12:W13"/>
    <mergeCell ref="X12:AA12"/>
    <mergeCell ref="AB12:AC13"/>
    <mergeCell ref="AD12:AE13"/>
    <mergeCell ref="S18:W18"/>
    <mergeCell ref="AB18:AC18"/>
    <mergeCell ref="AD18:AE18"/>
    <mergeCell ref="S19:W19"/>
    <mergeCell ref="AB19:AC19"/>
    <mergeCell ref="AD19:AE19"/>
    <mergeCell ref="S16:W16"/>
    <mergeCell ref="AB16:AC16"/>
    <mergeCell ref="AD16:AE16"/>
    <mergeCell ref="S17:W17"/>
    <mergeCell ref="AB17:AC17"/>
    <mergeCell ref="AD17:AE17"/>
    <mergeCell ref="S22:W22"/>
    <mergeCell ref="AB22:AC22"/>
    <mergeCell ref="AD22:AE22"/>
    <mergeCell ref="S23:W23"/>
    <mergeCell ref="AB23:AC23"/>
    <mergeCell ref="AD23:AE23"/>
    <mergeCell ref="S20:W20"/>
    <mergeCell ref="AB20:AC20"/>
    <mergeCell ref="AD20:AE20"/>
    <mergeCell ref="S21:W21"/>
    <mergeCell ref="AB21:AC21"/>
    <mergeCell ref="AD21:AE21"/>
    <mergeCell ref="R28:S28"/>
    <mergeCell ref="AF28:AG28"/>
    <mergeCell ref="R29:S29"/>
    <mergeCell ref="AF29:AG29"/>
    <mergeCell ref="Y30:AF30"/>
    <mergeCell ref="AB24:AC24"/>
    <mergeCell ref="S25:AG25"/>
    <mergeCell ref="R26:S26"/>
    <mergeCell ref="AF26:AG26"/>
    <mergeCell ref="R27:S27"/>
    <mergeCell ref="AF27:AG27"/>
    <mergeCell ref="Z41:AG41"/>
    <mergeCell ref="R35:X35"/>
    <mergeCell ref="Z35:AG35"/>
    <mergeCell ref="S37:AG37"/>
    <mergeCell ref="S39:X39"/>
    <mergeCell ref="Z40:AG40"/>
    <mergeCell ref="V31:AF31"/>
    <mergeCell ref="U32:AF32"/>
    <mergeCell ref="T33:X33"/>
    <mergeCell ref="R34:X34"/>
    <mergeCell ref="Z34:AG34"/>
  </mergeCells>
  <conditionalFormatting sqref="A1:XFD1">
    <cfRule type="cellIs" dxfId="64" priority="3" operator="equal">
      <formula>0</formula>
    </cfRule>
    <cfRule type="cellIs" priority="4" operator="equal">
      <formula>0</formula>
    </cfRule>
  </conditionalFormatting>
  <conditionalFormatting sqref="A8:XFD10">
    <cfRule type="cellIs" dxfId="63" priority="5" operator="equal">
      <formula>0</formula>
    </cfRule>
    <cfRule type="containsBlanks" dxfId="62" priority="6">
      <formula>LEN(TRIM(A8))=0</formula>
    </cfRule>
  </conditionalFormatting>
  <conditionalFormatting sqref="A26:XFD26 A30:XFD33">
    <cfRule type="containsBlanks" dxfId="61" priority="77">
      <formula>LEN(TRIM(A26))=0</formula>
    </cfRule>
  </conditionalFormatting>
  <conditionalFormatting sqref="A26:XFD28 A30:XFD33">
    <cfRule type="cellIs" dxfId="60" priority="2" operator="equal">
      <formula>0</formula>
    </cfRule>
  </conditionalFormatting>
  <conditionalFormatting sqref="G14:J23">
    <cfRule type="cellIs" dxfId="59" priority="144" operator="equal">
      <formula>0</formula>
    </cfRule>
  </conditionalFormatting>
  <conditionalFormatting sqref="K24">
    <cfRule type="containsErrors" dxfId="58" priority="142">
      <formula>ISERROR(K24)</formula>
    </cfRule>
  </conditionalFormatting>
  <conditionalFormatting sqref="K14:N23">
    <cfRule type="containsErrors" dxfId="57" priority="143">
      <formula>ISERROR(K14)</formula>
    </cfRule>
  </conditionalFormatting>
  <conditionalFormatting sqref="X14:AA23">
    <cfRule type="cellIs" dxfId="56" priority="141" operator="equal">
      <formula>0</formula>
    </cfRule>
  </conditionalFormatting>
  <conditionalFormatting sqref="AB24">
    <cfRule type="containsErrors" dxfId="55" priority="52">
      <formula>ISERROR(AB24)</formula>
    </cfRule>
  </conditionalFormatting>
  <conditionalFormatting sqref="AB14:AE23">
    <cfRule type="containsErrors" dxfId="54" priority="140">
      <formula>ISERROR(AB14)</formula>
    </cfRule>
  </conditionalFormatting>
  <conditionalFormatting sqref="AN14:AQ23">
    <cfRule type="cellIs" dxfId="53" priority="139" operator="equal">
      <formula>0</formula>
    </cfRule>
  </conditionalFormatting>
  <conditionalFormatting sqref="AR24">
    <cfRule type="containsErrors" dxfId="52" priority="51">
      <formula>ISERROR(AR24)</formula>
    </cfRule>
  </conditionalFormatting>
  <conditionalFormatting sqref="AR14:AU23">
    <cfRule type="containsErrors" dxfId="51" priority="138">
      <formula>ISERROR(AR14)</formula>
    </cfRule>
  </conditionalFormatting>
  <conditionalFormatting sqref="BE14:BH23">
    <cfRule type="cellIs" dxfId="50" priority="137" operator="equal">
      <formula>0</formula>
    </cfRule>
  </conditionalFormatting>
  <conditionalFormatting sqref="BI24">
    <cfRule type="containsErrors" dxfId="49" priority="50">
      <formula>ISERROR(BI24)</formula>
    </cfRule>
  </conditionalFormatting>
  <conditionalFormatting sqref="BI14:BL23">
    <cfRule type="containsErrors" dxfId="48" priority="136">
      <formula>ISERROR(BI14)</formula>
    </cfRule>
  </conditionalFormatting>
  <conditionalFormatting sqref="BU14:BX23">
    <cfRule type="cellIs" dxfId="47" priority="135" operator="equal">
      <formula>0</formula>
    </cfRule>
  </conditionalFormatting>
  <conditionalFormatting sqref="BY24">
    <cfRule type="containsErrors" dxfId="46" priority="49">
      <formula>ISERROR(BY24)</formula>
    </cfRule>
  </conditionalFormatting>
  <conditionalFormatting sqref="BY14:CB23">
    <cfRule type="containsErrors" dxfId="45" priority="134">
      <formula>ISERROR(BY14)</formula>
    </cfRule>
  </conditionalFormatting>
  <conditionalFormatting sqref="CL14:CO23">
    <cfRule type="cellIs" dxfId="44" priority="133" operator="equal">
      <formula>0</formula>
    </cfRule>
  </conditionalFormatting>
  <conditionalFormatting sqref="CP24">
    <cfRule type="containsErrors" dxfId="43" priority="48">
      <formula>ISERROR(CP24)</formula>
    </cfRule>
  </conditionalFormatting>
  <conditionalFormatting sqref="CP14:CS23">
    <cfRule type="containsErrors" dxfId="42" priority="132">
      <formula>ISERROR(CP14)</formula>
    </cfRule>
  </conditionalFormatting>
  <conditionalFormatting sqref="DB14:DE23">
    <cfRule type="cellIs" dxfId="41" priority="131" operator="equal">
      <formula>0</formula>
    </cfRule>
  </conditionalFormatting>
  <conditionalFormatting sqref="DF24">
    <cfRule type="containsErrors" dxfId="40" priority="47">
      <formula>ISERROR(DF24)</formula>
    </cfRule>
  </conditionalFormatting>
  <conditionalFormatting sqref="DF14:DI23">
    <cfRule type="containsErrors" dxfId="39" priority="130">
      <formula>ISERROR(DF14)</formula>
    </cfRule>
  </conditionalFormatting>
  <conditionalFormatting sqref="DS14:DV23">
    <cfRule type="cellIs" dxfId="38" priority="129" operator="equal">
      <formula>0</formula>
    </cfRule>
  </conditionalFormatting>
  <conditionalFormatting sqref="DW24">
    <cfRule type="containsErrors" dxfId="37" priority="46">
      <formula>ISERROR(DW24)</formula>
    </cfRule>
  </conditionalFormatting>
  <conditionalFormatting sqref="DW14:DZ23">
    <cfRule type="containsErrors" dxfId="36" priority="128">
      <formula>ISERROR(DW14)</formula>
    </cfRule>
  </conditionalFormatting>
  <conditionalFormatting sqref="EI14:EL23">
    <cfRule type="cellIs" dxfId="35" priority="127" operator="equal">
      <formula>0</formula>
    </cfRule>
  </conditionalFormatting>
  <conditionalFormatting sqref="EM24">
    <cfRule type="containsErrors" dxfId="34" priority="45">
      <formula>ISERROR(EM24)</formula>
    </cfRule>
  </conditionalFormatting>
  <conditionalFormatting sqref="EM14:EP23">
    <cfRule type="containsErrors" dxfId="33" priority="126">
      <formula>ISERROR(EM14)</formula>
    </cfRule>
  </conditionalFormatting>
  <conditionalFormatting sqref="EZ14:FC23">
    <cfRule type="cellIs" dxfId="32" priority="125" operator="equal">
      <formula>0</formula>
    </cfRule>
  </conditionalFormatting>
  <conditionalFormatting sqref="FD24">
    <cfRule type="containsErrors" dxfId="31" priority="44">
      <formula>ISERROR(FD24)</formula>
    </cfRule>
  </conditionalFormatting>
  <conditionalFormatting sqref="FD14:FG23">
    <cfRule type="containsErrors" dxfId="30" priority="124">
      <formula>ISERROR(FD14)</formula>
    </cfRule>
  </conditionalFormatting>
  <conditionalFormatting sqref="FP14:FS23">
    <cfRule type="cellIs" dxfId="29" priority="123" operator="equal">
      <formula>0</formula>
    </cfRule>
  </conditionalFormatting>
  <conditionalFormatting sqref="FT24">
    <cfRule type="containsErrors" dxfId="28" priority="43">
      <formula>ISERROR(FT24)</formula>
    </cfRule>
  </conditionalFormatting>
  <conditionalFormatting sqref="FT14:FW23">
    <cfRule type="containsErrors" dxfId="27" priority="122">
      <formula>ISERROR(FT14)</formula>
    </cfRule>
  </conditionalFormatting>
  <conditionalFormatting sqref="GG14:GJ23">
    <cfRule type="cellIs" dxfId="26" priority="121" operator="equal">
      <formula>0</formula>
    </cfRule>
  </conditionalFormatting>
  <conditionalFormatting sqref="GK24">
    <cfRule type="containsErrors" dxfId="25" priority="42">
      <formula>ISERROR(GK24)</formula>
    </cfRule>
  </conditionalFormatting>
  <conditionalFormatting sqref="GK14:GN23">
    <cfRule type="containsErrors" dxfId="24" priority="120">
      <formula>ISERROR(GK14)</formula>
    </cfRule>
  </conditionalFormatting>
  <conditionalFormatting sqref="GW14:GZ23">
    <cfRule type="cellIs" dxfId="23" priority="119" operator="equal">
      <formula>0</formula>
    </cfRule>
  </conditionalFormatting>
  <conditionalFormatting sqref="HA24">
    <cfRule type="containsErrors" dxfId="22" priority="41">
      <formula>ISERROR(HA24)</formula>
    </cfRule>
  </conditionalFormatting>
  <conditionalFormatting sqref="HA14:HD23">
    <cfRule type="containsErrors" dxfId="21" priority="118">
      <formula>ISERROR(HA14)</formula>
    </cfRule>
  </conditionalFormatting>
  <conditionalFormatting sqref="HN14:HQ23">
    <cfRule type="cellIs" dxfId="20" priority="117" operator="equal">
      <formula>0</formula>
    </cfRule>
  </conditionalFormatting>
  <conditionalFormatting sqref="HR24">
    <cfRule type="containsErrors" dxfId="19" priority="40">
      <formula>ISERROR(HR24)</formula>
    </cfRule>
  </conditionalFormatting>
  <conditionalFormatting sqref="HR14:HU23">
    <cfRule type="containsErrors" dxfId="18" priority="116">
      <formula>ISERROR(HR14)</formula>
    </cfRule>
  </conditionalFormatting>
  <conditionalFormatting sqref="ID14:IG23">
    <cfRule type="cellIs" dxfId="17" priority="115" operator="equal">
      <formula>0</formula>
    </cfRule>
  </conditionalFormatting>
  <conditionalFormatting sqref="IH24">
    <cfRule type="containsErrors" dxfId="16" priority="39">
      <formula>ISERROR(IH24)</formula>
    </cfRule>
  </conditionalFormatting>
  <conditionalFormatting sqref="IH14:IK23">
    <cfRule type="containsErrors" dxfId="15" priority="114">
      <formula>ISERROR(IH14)</formula>
    </cfRule>
  </conditionalFormatting>
  <conditionalFormatting sqref="IU14:IX23">
    <cfRule type="cellIs" dxfId="14" priority="113" operator="equal">
      <formula>0</formula>
    </cfRule>
  </conditionalFormatting>
  <conditionalFormatting sqref="IY24">
    <cfRule type="containsErrors" dxfId="13" priority="38">
      <formula>ISERROR(IY24)</formula>
    </cfRule>
  </conditionalFormatting>
  <conditionalFormatting sqref="IY14:JB23">
    <cfRule type="containsErrors" dxfId="12" priority="112">
      <formula>ISERROR(IY14)</formula>
    </cfRule>
  </conditionalFormatting>
  <conditionalFormatting sqref="JK14:JN23">
    <cfRule type="cellIs" dxfId="11" priority="111" operator="equal">
      <formula>0</formula>
    </cfRule>
  </conditionalFormatting>
  <conditionalFormatting sqref="JO24">
    <cfRule type="containsErrors" dxfId="10" priority="37">
      <formula>ISERROR(JO24)</formula>
    </cfRule>
  </conditionalFormatting>
  <conditionalFormatting sqref="JO14:JR23">
    <cfRule type="containsErrors" dxfId="9" priority="110">
      <formula>ISERROR(JO14)</formula>
    </cfRule>
  </conditionalFormatting>
  <conditionalFormatting sqref="KB14:KE23">
    <cfRule type="cellIs" dxfId="8" priority="109" operator="equal">
      <formula>0</formula>
    </cfRule>
  </conditionalFormatting>
  <conditionalFormatting sqref="KF24">
    <cfRule type="containsErrors" dxfId="7" priority="36">
      <formula>ISERROR(KF24)</formula>
    </cfRule>
  </conditionalFormatting>
  <conditionalFormatting sqref="KF14:KI23">
    <cfRule type="containsErrors" dxfId="6" priority="108">
      <formula>ISERROR(KF14)</formula>
    </cfRule>
  </conditionalFormatting>
  <conditionalFormatting sqref="KR14:KU23">
    <cfRule type="cellIs" dxfId="5" priority="107" operator="equal">
      <formula>0</formula>
    </cfRule>
  </conditionalFormatting>
  <conditionalFormatting sqref="KV24">
    <cfRule type="containsErrors" dxfId="4" priority="35">
      <formula>ISERROR(KV24)</formula>
    </cfRule>
  </conditionalFormatting>
  <conditionalFormatting sqref="KV14:KY23">
    <cfRule type="containsErrors" dxfId="3" priority="106">
      <formula>ISERROR(KV14)</formula>
    </cfRule>
  </conditionalFormatting>
  <conditionalFormatting sqref="LI14:LL23">
    <cfRule type="cellIs" dxfId="2" priority="105" operator="equal">
      <formula>0</formula>
    </cfRule>
  </conditionalFormatting>
  <conditionalFormatting sqref="LM24">
    <cfRule type="containsErrors" dxfId="1" priority="34">
      <formula>ISERROR(LM24)</formula>
    </cfRule>
  </conditionalFormatting>
  <conditionalFormatting sqref="LM14:LP23">
    <cfRule type="containsErrors" dxfId="0" priority="104">
      <formula>ISERROR(LM14)</formula>
    </cfRule>
  </conditionalFormatting>
  <pageMargins left="0.7" right="0.7" top="0.75" bottom="0.75" header="0.3" footer="0.3"/>
  <pageSetup paperSize="9" scale="72" fitToWidth="0" fitToHeight="0" orientation="landscape" r:id="rId1"/>
  <colBreaks count="9" manualBreakCount="9">
    <brk id="33" max="1048575" man="1"/>
    <brk id="66" max="1048575" man="1"/>
    <brk id="99" max="1048575" man="1"/>
    <brk id="132" max="1048575" man="1"/>
    <brk id="165" max="1048575" man="1"/>
    <brk id="198" max="1048575" man="1"/>
    <brk id="231" max="1048575" man="1"/>
    <brk id="264" max="1048575" man="1"/>
    <brk id="29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Kino Hill</dc:creator>
  <cp:keywords/>
  <dc:description/>
  <cp:lastModifiedBy>Kino Hill</cp:lastModifiedBy>
  <cp:lastPrinted>2025-10-16T12:40:45Z</cp:lastPrinted>
  <dcterms:created xsi:type="dcterms:W3CDTF">2025-10-12T16:38:25Z</dcterms:created>
  <dcterms:modified xsi:type="dcterms:W3CDTF">2025-10-21T13:53:21Z</dcterms:modified>
  <cp:category/>
</cp:coreProperties>
</file>