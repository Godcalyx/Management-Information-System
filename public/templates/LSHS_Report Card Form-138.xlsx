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mpp\htdocs\CAPSTONE_PROJECT\LSHS-OMIS\public\templates\"/>
    </mc:Choice>
  </mc:AlternateContent>
  <xr:revisionPtr revIDLastSave="0" documentId="13_ncr:1_{1B8785DB-6DF0-4128-A0BC-9AE88ED2DA45}" xr6:coauthVersionLast="47" xr6:coauthVersionMax="47" xr10:uidLastSave="{00000000-0000-0000-0000-000000000000}"/>
  <bookViews>
    <workbookView xWindow="-108" yWindow="-108" windowWidth="23256" windowHeight="13176" xr2:uid="{3F79571C-4C1F-471E-9C12-8395F444CF3E}"/>
  </bookViews>
  <sheets>
    <sheet name="Sheet1" sheetId="1" r:id="rId1"/>
  </sheets>
  <externalReferences>
    <externalReference r:id="rId2"/>
  </externalReferences>
  <definedNames>
    <definedName name="_xlnm.Print_Area" localSheetId="0">Sheet1!$A$1:$AG$42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T27" i="1"/>
  <c r="T28" i="1"/>
  <c r="T29" i="1"/>
  <c r="E35" i="1"/>
  <c r="S20" i="1"/>
  <c r="D35" i="1"/>
  <c r="C35" i="1"/>
  <c r="B35" i="1"/>
  <c r="Z34" i="1"/>
  <c r="R34" i="1"/>
  <c r="I34" i="1"/>
  <c r="A34" i="1"/>
  <c r="T33" i="1"/>
  <c r="C33" i="1"/>
  <c r="U32" i="1"/>
  <c r="D32" i="1"/>
  <c r="V31" i="1"/>
  <c r="E31" i="1"/>
  <c r="Y30" i="1"/>
  <c r="H30" i="1"/>
  <c r="AE29" i="1"/>
  <c r="AD29" i="1"/>
  <c r="AC29" i="1"/>
  <c r="AB29" i="1"/>
  <c r="AA29" i="1"/>
  <c r="Z29" i="1"/>
  <c r="Y29" i="1"/>
  <c r="X29" i="1"/>
  <c r="W29" i="1"/>
  <c r="V29" i="1"/>
  <c r="U29" i="1"/>
  <c r="N29" i="1"/>
  <c r="M29" i="1"/>
  <c r="L29" i="1"/>
  <c r="K29" i="1"/>
  <c r="J29" i="1"/>
  <c r="I29" i="1"/>
  <c r="H29" i="1"/>
  <c r="G29" i="1"/>
  <c r="F29" i="1"/>
  <c r="E29" i="1"/>
  <c r="D29" i="1"/>
  <c r="AE28" i="1"/>
  <c r="AD28" i="1"/>
  <c r="AC28" i="1"/>
  <c r="AB28" i="1"/>
  <c r="AA28" i="1"/>
  <c r="Z28" i="1"/>
  <c r="Y28" i="1"/>
  <c r="X28" i="1"/>
  <c r="W28" i="1"/>
  <c r="V28" i="1"/>
  <c r="U28" i="1"/>
  <c r="N28" i="1"/>
  <c r="M28" i="1"/>
  <c r="L28" i="1"/>
  <c r="K28" i="1"/>
  <c r="J28" i="1"/>
  <c r="I28" i="1"/>
  <c r="H28" i="1"/>
  <c r="G28" i="1"/>
  <c r="F28" i="1"/>
  <c r="E28" i="1"/>
  <c r="D28" i="1"/>
  <c r="AF27" i="1"/>
  <c r="AE27" i="1"/>
  <c r="AD27" i="1"/>
  <c r="AC27" i="1"/>
  <c r="AB27" i="1"/>
  <c r="AA27" i="1"/>
  <c r="Z27" i="1"/>
  <c r="Y27" i="1"/>
  <c r="X27" i="1"/>
  <c r="W27" i="1"/>
  <c r="V27" i="1"/>
  <c r="U27" i="1"/>
  <c r="O27" i="1"/>
  <c r="N27" i="1"/>
  <c r="M27" i="1"/>
  <c r="L27" i="1"/>
  <c r="K27" i="1"/>
  <c r="J27" i="1"/>
  <c r="I27" i="1"/>
  <c r="H27" i="1"/>
  <c r="G27" i="1"/>
  <c r="E27" i="1"/>
  <c r="D27" i="1"/>
  <c r="AE26" i="1"/>
  <c r="N26" i="1"/>
  <c r="G35" i="1"/>
  <c r="F35" i="1"/>
  <c r="AB24" i="1"/>
  <c r="K24" i="1"/>
  <c r="AC23" i="1"/>
  <c r="AB23" i="1"/>
  <c r="AD23" i="1" s="1"/>
  <c r="AA23" i="1"/>
  <c r="Z23" i="1"/>
  <c r="Y23" i="1"/>
  <c r="X23" i="1"/>
  <c r="S23" i="1"/>
  <c r="L23" i="1"/>
  <c r="K23" i="1"/>
  <c r="M23" i="1" s="1"/>
  <c r="J23" i="1"/>
  <c r="I23" i="1"/>
  <c r="H23" i="1"/>
  <c r="G23" i="1"/>
  <c r="B23" i="1"/>
  <c r="AC22" i="1"/>
  <c r="AB22" i="1"/>
  <c r="AD22" i="1" s="1"/>
  <c r="AA22" i="1"/>
  <c r="Z22" i="1"/>
  <c r="Y22" i="1"/>
  <c r="X22" i="1"/>
  <c r="S22" i="1"/>
  <c r="L22" i="1"/>
  <c r="K22" i="1"/>
  <c r="M22" i="1" s="1"/>
  <c r="J22" i="1"/>
  <c r="I22" i="1"/>
  <c r="H22" i="1"/>
  <c r="G22" i="1"/>
  <c r="B22" i="1"/>
  <c r="AC21" i="1"/>
  <c r="AB21" i="1"/>
  <c r="AD21" i="1" s="1"/>
  <c r="AA21" i="1"/>
  <c r="Z21" i="1"/>
  <c r="Y21" i="1"/>
  <c r="X21" i="1"/>
  <c r="S21" i="1"/>
  <c r="L21" i="1"/>
  <c r="K21" i="1"/>
  <c r="M21" i="1" s="1"/>
  <c r="J21" i="1"/>
  <c r="I21" i="1"/>
  <c r="H21" i="1"/>
  <c r="G21" i="1"/>
  <c r="B21" i="1"/>
  <c r="AC20" i="1"/>
  <c r="AB20" i="1"/>
  <c r="AD20" i="1" s="1"/>
  <c r="AA20" i="1"/>
  <c r="Z20" i="1"/>
  <c r="Y20" i="1"/>
  <c r="X20" i="1"/>
  <c r="L20" i="1"/>
  <c r="K20" i="1"/>
  <c r="M20" i="1" s="1"/>
  <c r="J20" i="1"/>
  <c r="I20" i="1"/>
  <c r="H20" i="1"/>
  <c r="G20" i="1"/>
  <c r="B20" i="1"/>
  <c r="AC19" i="1"/>
  <c r="AB19" i="1"/>
  <c r="AD19" i="1" s="1"/>
  <c r="AA19" i="1"/>
  <c r="Z19" i="1"/>
  <c r="Y19" i="1"/>
  <c r="X19" i="1"/>
  <c r="S19" i="1"/>
  <c r="L19" i="1"/>
  <c r="K19" i="1"/>
  <c r="M19" i="1" s="1"/>
  <c r="J19" i="1"/>
  <c r="I19" i="1"/>
  <c r="H19" i="1"/>
  <c r="G19" i="1"/>
  <c r="B19" i="1"/>
  <c r="AC18" i="1"/>
  <c r="AB18" i="1"/>
  <c r="AD18" i="1" s="1"/>
  <c r="AA18" i="1"/>
  <c r="Z18" i="1"/>
  <c r="Y18" i="1"/>
  <c r="X18" i="1"/>
  <c r="S18" i="1"/>
  <c r="L18" i="1"/>
  <c r="K18" i="1"/>
  <c r="M18" i="1" s="1"/>
  <c r="J18" i="1"/>
  <c r="I18" i="1"/>
  <c r="H18" i="1"/>
  <c r="G18" i="1"/>
  <c r="B18" i="1"/>
  <c r="AC17" i="1"/>
  <c r="AB17" i="1"/>
  <c r="AD17" i="1" s="1"/>
  <c r="AA17" i="1"/>
  <c r="Z17" i="1"/>
  <c r="Y17" i="1"/>
  <c r="X17" i="1"/>
  <c r="S17" i="1"/>
  <c r="L17" i="1"/>
  <c r="K17" i="1"/>
  <c r="M17" i="1" s="1"/>
  <c r="J17" i="1"/>
  <c r="I17" i="1"/>
  <c r="H17" i="1"/>
  <c r="G17" i="1"/>
  <c r="B17" i="1"/>
  <c r="AC16" i="1"/>
  <c r="AB16" i="1"/>
  <c r="AD16" i="1" s="1"/>
  <c r="AA16" i="1"/>
  <c r="Z16" i="1"/>
  <c r="Y16" i="1"/>
  <c r="X16" i="1"/>
  <c r="S16" i="1"/>
  <c r="L16" i="1"/>
  <c r="K16" i="1"/>
  <c r="M16" i="1" s="1"/>
  <c r="J16" i="1"/>
  <c r="I16" i="1"/>
  <c r="H16" i="1"/>
  <c r="G16" i="1"/>
  <c r="B16" i="1"/>
  <c r="AC15" i="1"/>
  <c r="AB15" i="1"/>
  <c r="AD15" i="1" s="1"/>
  <c r="AA15" i="1"/>
  <c r="Z15" i="1"/>
  <c r="Y15" i="1"/>
  <c r="X15" i="1"/>
  <c r="S15" i="1"/>
  <c r="L15" i="1"/>
  <c r="K15" i="1"/>
  <c r="M15" i="1" s="1"/>
  <c r="J15" i="1"/>
  <c r="I15" i="1"/>
  <c r="H15" i="1"/>
  <c r="G15" i="1"/>
  <c r="B15" i="1"/>
  <c r="AC14" i="1"/>
  <c r="AB14" i="1"/>
  <c r="AD14" i="1" s="1"/>
  <c r="AA14" i="1"/>
  <c r="Z14" i="1"/>
  <c r="Y14" i="1"/>
  <c r="X14" i="1"/>
  <c r="S14" i="1"/>
  <c r="L14" i="1"/>
  <c r="K14" i="1"/>
  <c r="M14" i="1" s="1"/>
  <c r="J14" i="1"/>
  <c r="I14" i="1"/>
  <c r="H14" i="1"/>
  <c r="G14" i="1"/>
  <c r="B14" i="1"/>
  <c r="AC10" i="1"/>
  <c r="T10" i="1"/>
  <c r="L10" i="1"/>
  <c r="C10" i="1"/>
  <c r="AC9" i="1"/>
  <c r="T9" i="1"/>
  <c r="L9" i="1"/>
  <c r="C9" i="1"/>
  <c r="AF8" i="1"/>
  <c r="AC8" i="1"/>
  <c r="T8" i="1"/>
  <c r="O8" i="1"/>
  <c r="L8" i="1"/>
  <c r="C8" i="1"/>
  <c r="AB1" i="1"/>
  <c r="K1" i="1"/>
  <c r="O28" i="1" l="1"/>
  <c r="AF28" i="1"/>
  <c r="O29" i="1"/>
  <c r="AF29" i="1"/>
  <c r="Z40" i="1"/>
  <c r="I40" i="1"/>
</calcChain>
</file>

<file path=xl/sharedStrings.xml><?xml version="1.0" encoding="utf-8"?>
<sst xmlns="http://schemas.openxmlformats.org/spreadsheetml/2006/main" count="90" uniqueCount="44">
  <si>
    <t>Form 138-A</t>
  </si>
  <si>
    <t>LRN</t>
  </si>
  <si>
    <t>Republic of the Philippines</t>
  </si>
  <si>
    <t>CAVITE STATE UNIVERSITY NAIC</t>
  </si>
  <si>
    <t>(Formerly Cavite College of Fisheries)</t>
  </si>
  <si>
    <t>Bucana Malaki, Naic, Cavite</t>
  </si>
  <si>
    <t>SECONDARY REPORT CARD</t>
  </si>
  <si>
    <t>Name</t>
  </si>
  <si>
    <t>Age</t>
  </si>
  <si>
    <t>Sex</t>
  </si>
  <si>
    <t>Grade</t>
  </si>
  <si>
    <t>School Year</t>
  </si>
  <si>
    <t>Section</t>
  </si>
  <si>
    <t>SUBJECTS</t>
  </si>
  <si>
    <t>Periodic Ratings</t>
  </si>
  <si>
    <t>Final Rating</t>
  </si>
  <si>
    <t>Action Taken</t>
  </si>
  <si>
    <t>General Average</t>
  </si>
  <si>
    <t xml:space="preserve">GRADING  SYSTEM  USED:               AVERAGING                 </t>
  </si>
  <si>
    <t>TOTAL</t>
  </si>
  <si>
    <t>Days of School</t>
  </si>
  <si>
    <t>Days Present</t>
  </si>
  <si>
    <t>Times Tardy</t>
  </si>
  <si>
    <t xml:space="preserve">Eligible for transfer and admission to </t>
  </si>
  <si>
    <t>Has advanced units in</t>
  </si>
  <si>
    <t xml:space="preserve">Lacks units in </t>
  </si>
  <si>
    <t xml:space="preserve">Date </t>
  </si>
  <si>
    <t>Class Adviser</t>
  </si>
  <si>
    <t>Principal</t>
  </si>
  <si>
    <t>CANCELLATION OF TRANSFER ELIGIBILITY</t>
  </si>
  <si>
    <t xml:space="preserve">Has been admitted to </t>
  </si>
  <si>
    <t>Date</t>
  </si>
  <si>
    <r>
      <t>Curriculum</t>
    </r>
    <r>
      <rPr>
        <i/>
        <sz val="11"/>
        <color indexed="8"/>
        <rFont val="Aptos"/>
        <family val="2"/>
      </rPr>
      <t xml:space="preserve">       </t>
    </r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</si>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</sst>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4"/>
      <color rgb="FF000000"/>
      <name val="Aptos"/>
      <family val="2"/>
    </font>
    <font>
      <i/>
      <sz val="11"/>
      <color theme="1"/>
      <name val="Aptos"/>
      <family val="2"/>
    </font>
    <font>
      <b/>
      <i/>
      <sz val="11"/>
      <color theme="1"/>
      <name val="Aptos"/>
      <family val="2"/>
    </font>
    <font>
      <b/>
      <i/>
      <sz val="11"/>
      <color rgb="FF000000"/>
      <name val="Aptos"/>
      <family val="2"/>
    </font>
    <font>
      <b/>
      <i/>
      <sz val="11"/>
      <name val="Aptos"/>
      <family val="2"/>
    </font>
    <font>
      <i/>
      <sz val="11"/>
      <color indexed="8"/>
      <name val="Aptos"/>
      <family val="2"/>
    </font>
    <font>
      <b/>
      <sz val="11"/>
      <name val="Aptos"/>
      <family val="2"/>
    </font>
    <font>
      <b/>
      <sz val="10"/>
      <name val="Aptos"/>
      <family val="2"/>
    </font>
    <font>
      <b/>
      <sz val="7"/>
      <name val="Aptos"/>
      <family val="2"/>
    </font>
    <font>
      <sz val="8"/>
      <color theme="1"/>
      <name val="Aptos"/>
      <family val="2"/>
    </font>
    <font>
      <b/>
      <sz val="16"/>
      <color theme="1"/>
      <name val="Aptos"/>
      <family val="2"/>
    </font>
    <font>
      <sz val="11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1" fontId="1" fillId="2" borderId="0" xfId="0" applyNumberFormat="1" applyFont="1" applyFill="1"/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/>
    <xf numFmtId="0" fontId="11" fillId="2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4" fillId="2" borderId="10" xfId="0" applyFont="1" applyFill="1" applyBorder="1" applyAlignment="1">
      <alignment horizontal="center" vertical="center" textRotation="90" wrapText="1"/>
    </xf>
    <xf numFmtId="1" fontId="4" fillId="2" borderId="10" xfId="0" applyNumberFormat="1" applyFont="1" applyFill="1" applyBorder="1" applyAlignment="1">
      <alignment horizontal="center"/>
    </xf>
    <xf numFmtId="1" fontId="18" fillId="2" borderId="10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4" fillId="2" borderId="11" xfId="0" applyFont="1" applyFill="1" applyBorder="1"/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1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horizontal="left"/>
    </xf>
    <xf numFmtId="1" fontId="9" fillId="2" borderId="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1" fontId="17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" fontId="6" fillId="2" borderId="9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124703</xdr:colOff>
      <xdr:row>1</xdr:row>
      <xdr:rowOff>49043</xdr:rowOff>
    </xdr:from>
    <xdr:to>
      <xdr:col>4</xdr:col>
      <xdr:colOff>226742</xdr:colOff>
      <xdr:row>5</xdr:row>
      <xdr:rowOff>16859</xdr:rowOff>
    </xdr:to>
    <xdr:pic>
      <xdr:nvPicPr>
        <xdr:cNvPr id="2" name="Graphics 3">
          <a:extLst>
            <a:ext uri="{FF2B5EF4-FFF2-40B4-BE49-F238E27FC236}">
              <a16:creationId xmlns:a16="http://schemas.microsoft.com/office/drawing/2014/main" id="{B5F57245-F8AC-4241-9FAE-BBFF7FCB4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03" y="252243"/>
          <a:ext cx="876739" cy="806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86603</xdr:colOff>
      <xdr:row>1</xdr:row>
      <xdr:rowOff>61743</xdr:rowOff>
    </xdr:from>
    <xdr:to>
      <xdr:col>21</xdr:col>
      <xdr:colOff>188642</xdr:colOff>
      <xdr:row>5</xdr:row>
      <xdr:rowOff>29559</xdr:rowOff>
    </xdr:to>
    <xdr:pic>
      <xdr:nvPicPr>
        <xdr:cNvPr id="3" name="Graphics 3">
          <a:extLst>
            <a:ext uri="{FF2B5EF4-FFF2-40B4-BE49-F238E27FC236}">
              <a16:creationId xmlns:a16="http://schemas.microsoft.com/office/drawing/2014/main" id="{8EE43F7A-966C-40A0-974D-55DA005C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903" y="264943"/>
          <a:ext cx="876739" cy="806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an%20Morgan\Downloads\LSHS_CGS_10Agoho.xlsx" TargetMode="External"/><Relationship Id="rId1" Type="http://schemas.openxmlformats.org/officeDocument/2006/relationships/externalLinkPath" Target="/Users/Kian%20Morgan/Downloads/LSHS_CGS_10Ago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ARD"/>
      <sheetName val="1Q"/>
      <sheetName val="2Q"/>
      <sheetName val="3Q"/>
      <sheetName val="4Q"/>
      <sheetName val="Q"/>
      <sheetName val="CERT"/>
      <sheetName val="CERTGEN"/>
      <sheetName val="F1"/>
      <sheetName val="F2"/>
      <sheetName val="SUMMARY (2)"/>
    </sheetNames>
    <sheetDataSet>
      <sheetData sheetId="0">
        <row r="1">
          <cell r="A1">
            <v>10</v>
          </cell>
          <cell r="B1" t="str">
            <v>Agoho</v>
          </cell>
          <cell r="C1" t="str">
            <v>Science</v>
          </cell>
          <cell r="D1" t="str">
            <v>2024-2025</v>
          </cell>
          <cell r="F1" t="str">
            <v>Filipino</v>
          </cell>
          <cell r="J1">
            <v>4</v>
          </cell>
          <cell r="K1" t="str">
            <v xml:space="preserve">English </v>
          </cell>
          <cell r="O1">
            <v>4</v>
          </cell>
          <cell r="P1" t="str">
            <v xml:space="preserve">Mathematics </v>
          </cell>
          <cell r="T1">
            <v>6</v>
          </cell>
          <cell r="U1" t="str">
            <v xml:space="preserve">Science </v>
          </cell>
          <cell r="Y1">
            <v>5</v>
          </cell>
          <cell r="Z1" t="str">
            <v xml:space="preserve">Araling Panlipunan </v>
          </cell>
          <cell r="AD1">
            <v>4</v>
          </cell>
          <cell r="AE1" t="str">
            <v>Technology and Livelihood Education</v>
          </cell>
          <cell r="AI1">
            <v>4</v>
          </cell>
          <cell r="AJ1" t="str">
            <v xml:space="preserve">Music, Arts, PE and Health </v>
          </cell>
          <cell r="AN1">
            <v>4</v>
          </cell>
          <cell r="AO1" t="str">
            <v>Edukasyon sa Pagpapakatao</v>
          </cell>
          <cell r="AS1">
            <v>4</v>
          </cell>
          <cell r="AT1" t="str">
            <v>Advanced Biology</v>
          </cell>
          <cell r="AX1"/>
          <cell r="AY1" t="str">
            <v xml:space="preserve">Research </v>
          </cell>
          <cell r="BC1">
            <v>3</v>
          </cell>
        </row>
        <row r="3">
          <cell r="BT3"/>
        </row>
        <row r="4">
          <cell r="B4" t="str">
            <v>Anglo, Dranreb Eirrol Nicdao</v>
          </cell>
          <cell r="C4" t="str">
            <v>108065140001</v>
          </cell>
          <cell r="D4" t="str">
            <v>Male</v>
          </cell>
          <cell r="E4" t="str">
            <v xml:space="preserve">15 </v>
          </cell>
          <cell r="BI4">
            <v>4</v>
          </cell>
          <cell r="BJ4">
            <v>19</v>
          </cell>
          <cell r="BK4">
            <v>21</v>
          </cell>
          <cell r="BL4"/>
          <cell r="BM4"/>
          <cell r="BN4"/>
          <cell r="BO4"/>
          <cell r="BP4"/>
          <cell r="BQ4"/>
          <cell r="BR4"/>
          <cell r="BS4"/>
          <cell r="BT4"/>
          <cell r="BV4">
            <v>0</v>
          </cell>
          <cell r="BW4">
            <v>0</v>
          </cell>
          <cell r="BX4">
            <v>0</v>
          </cell>
          <cell r="BY4"/>
          <cell r="BZ4"/>
          <cell r="CA4"/>
          <cell r="CB4"/>
          <cell r="CC4"/>
          <cell r="CD4"/>
          <cell r="CE4"/>
          <cell r="CF4"/>
          <cell r="CG4"/>
          <cell r="CI4"/>
          <cell r="CJ4"/>
          <cell r="CK4"/>
          <cell r="CL4"/>
        </row>
        <row r="5">
          <cell r="B5" t="str">
            <v>Cailao, Iñigo Rafael Mascardo</v>
          </cell>
          <cell r="C5" t="str">
            <v>108064150089</v>
          </cell>
          <cell r="D5" t="str">
            <v>Male</v>
          </cell>
          <cell r="E5" t="str">
            <v xml:space="preserve">14 </v>
          </cell>
          <cell r="BI5">
            <v>4</v>
          </cell>
          <cell r="BJ5">
            <v>19</v>
          </cell>
          <cell r="BK5">
            <v>21</v>
          </cell>
          <cell r="BL5"/>
          <cell r="BM5"/>
          <cell r="BN5"/>
          <cell r="BO5"/>
          <cell r="BP5"/>
          <cell r="BQ5"/>
          <cell r="BR5"/>
          <cell r="BS5"/>
          <cell r="BT5"/>
          <cell r="BV5">
            <v>0</v>
          </cell>
          <cell r="BW5">
            <v>0</v>
          </cell>
          <cell r="BX5">
            <v>1</v>
          </cell>
          <cell r="BY5"/>
          <cell r="BZ5"/>
          <cell r="CA5"/>
          <cell r="CB5"/>
          <cell r="CC5"/>
          <cell r="CD5"/>
          <cell r="CE5"/>
          <cell r="CF5"/>
          <cell r="CG5"/>
          <cell r="CI5"/>
          <cell r="CJ5"/>
          <cell r="CK5"/>
          <cell r="CL5"/>
        </row>
        <row r="49">
          <cell r="A49" t="str">
            <v>MARION RODRIGO D. MARIÑAS III</v>
          </cell>
          <cell r="C49" t="str">
            <v>MARION RODRIGO D. MARIÑAS III</v>
          </cell>
          <cell r="BI49">
            <v>4</v>
          </cell>
          <cell r="BJ49">
            <v>19</v>
          </cell>
          <cell r="BK49">
            <v>21</v>
          </cell>
          <cell r="BL49"/>
          <cell r="BM49"/>
          <cell r="BN49"/>
          <cell r="BO49"/>
          <cell r="BP49"/>
          <cell r="BQ49"/>
          <cell r="BR49"/>
          <cell r="BS49"/>
          <cell r="BT49"/>
          <cell r="BU49">
            <v>44</v>
          </cell>
        </row>
      </sheetData>
      <sheetData sheetId="1"/>
      <sheetData sheetId="2">
        <row r="11">
          <cell r="C11">
            <v>84</v>
          </cell>
          <cell r="D11">
            <v>90</v>
          </cell>
          <cell r="E11">
            <v>91</v>
          </cell>
          <cell r="F11">
            <v>89</v>
          </cell>
          <cell r="G11">
            <v>92</v>
          </cell>
          <cell r="H11">
            <v>80</v>
          </cell>
          <cell r="I11">
            <v>89</v>
          </cell>
          <cell r="J11">
            <v>95</v>
          </cell>
          <cell r="K11">
            <v>89</v>
          </cell>
          <cell r="L11">
            <v>91</v>
          </cell>
        </row>
        <row r="12">
          <cell r="C12">
            <v>87</v>
          </cell>
          <cell r="D12">
            <v>90</v>
          </cell>
          <cell r="E12">
            <v>86</v>
          </cell>
          <cell r="F12">
            <v>91</v>
          </cell>
          <cell r="G12">
            <v>91</v>
          </cell>
          <cell r="H12">
            <v>82</v>
          </cell>
          <cell r="I12">
            <v>87</v>
          </cell>
          <cell r="J12">
            <v>95</v>
          </cell>
          <cell r="K12">
            <v>81</v>
          </cell>
          <cell r="L12">
            <v>86</v>
          </cell>
        </row>
      </sheetData>
      <sheetData sheetId="3">
        <row r="11">
          <cell r="C11">
            <v>88</v>
          </cell>
          <cell r="D11">
            <v>89</v>
          </cell>
          <cell r="E11">
            <v>92</v>
          </cell>
          <cell r="F11">
            <v>92</v>
          </cell>
          <cell r="G11">
            <v>87</v>
          </cell>
          <cell r="H11">
            <v>84</v>
          </cell>
          <cell r="I11">
            <v>97</v>
          </cell>
          <cell r="J11">
            <v>91</v>
          </cell>
          <cell r="K11">
            <v>92</v>
          </cell>
          <cell r="L11">
            <v>93</v>
          </cell>
        </row>
        <row r="12">
          <cell r="C12">
            <v>87</v>
          </cell>
          <cell r="D12">
            <v>85</v>
          </cell>
          <cell r="E12">
            <v>87</v>
          </cell>
          <cell r="F12">
            <v>89</v>
          </cell>
          <cell r="G12">
            <v>87</v>
          </cell>
          <cell r="H12">
            <v>80</v>
          </cell>
          <cell r="I12">
            <v>94</v>
          </cell>
          <cell r="J12">
            <v>90</v>
          </cell>
          <cell r="K12">
            <v>85</v>
          </cell>
          <cell r="L12">
            <v>89</v>
          </cell>
        </row>
      </sheetData>
      <sheetData sheetId="4">
        <row r="11">
          <cell r="C11">
            <v>95</v>
          </cell>
          <cell r="D11">
            <v>95</v>
          </cell>
          <cell r="E11">
            <v>92</v>
          </cell>
          <cell r="F11">
            <v>91</v>
          </cell>
          <cell r="G11">
            <v>95</v>
          </cell>
          <cell r="H11">
            <v>90</v>
          </cell>
          <cell r="I11">
            <v>97</v>
          </cell>
          <cell r="J11">
            <v>92</v>
          </cell>
          <cell r="K11">
            <v>89</v>
          </cell>
          <cell r="L11">
            <v>95</v>
          </cell>
        </row>
        <row r="12">
          <cell r="C12">
            <v>89</v>
          </cell>
          <cell r="D12">
            <v>94</v>
          </cell>
          <cell r="E12">
            <v>86</v>
          </cell>
          <cell r="F12">
            <v>83</v>
          </cell>
          <cell r="G12">
            <v>94</v>
          </cell>
          <cell r="H12">
            <v>84</v>
          </cell>
          <cell r="I12">
            <v>95</v>
          </cell>
          <cell r="J12">
            <v>92</v>
          </cell>
          <cell r="K12">
            <v>86</v>
          </cell>
          <cell r="L12">
            <v>93</v>
          </cell>
        </row>
      </sheetData>
      <sheetData sheetId="5">
        <row r="11">
          <cell r="C11">
            <v>93</v>
          </cell>
          <cell r="D11">
            <v>96</v>
          </cell>
          <cell r="E11">
            <v>96</v>
          </cell>
          <cell r="F11">
            <v>89</v>
          </cell>
          <cell r="G11">
            <v>97</v>
          </cell>
          <cell r="H11">
            <v>98</v>
          </cell>
          <cell r="I11">
            <v>95</v>
          </cell>
          <cell r="J11">
            <v>94</v>
          </cell>
          <cell r="K11">
            <v>95</v>
          </cell>
          <cell r="L11">
            <v>96</v>
          </cell>
          <cell r="M11">
            <v>94.9</v>
          </cell>
        </row>
        <row r="12">
          <cell r="C12">
            <v>91</v>
          </cell>
          <cell r="D12">
            <v>90</v>
          </cell>
          <cell r="E12">
            <v>96</v>
          </cell>
          <cell r="F12">
            <v>88</v>
          </cell>
          <cell r="G12">
            <v>96</v>
          </cell>
          <cell r="H12">
            <v>95</v>
          </cell>
          <cell r="I12">
            <v>95</v>
          </cell>
          <cell r="J12">
            <v>94</v>
          </cell>
          <cell r="K12">
            <v>94</v>
          </cell>
          <cell r="L12">
            <v>95</v>
          </cell>
          <cell r="M12">
            <v>93.4</v>
          </cell>
        </row>
      </sheetData>
      <sheetData sheetId="6">
        <row r="11">
          <cell r="C11">
            <v>90</v>
          </cell>
          <cell r="D11">
            <v>93</v>
          </cell>
          <cell r="E11">
            <v>93</v>
          </cell>
          <cell r="F11">
            <v>90</v>
          </cell>
          <cell r="G11">
            <v>93</v>
          </cell>
          <cell r="H11">
            <v>88</v>
          </cell>
          <cell r="I11">
            <v>95</v>
          </cell>
          <cell r="J11">
            <v>93</v>
          </cell>
          <cell r="K11">
            <v>91</v>
          </cell>
          <cell r="L11">
            <v>94</v>
          </cell>
          <cell r="M11">
            <v>92</v>
          </cell>
        </row>
        <row r="12">
          <cell r="C12">
            <v>89</v>
          </cell>
          <cell r="D12">
            <v>90</v>
          </cell>
          <cell r="E12">
            <v>89</v>
          </cell>
          <cell r="F12">
            <v>88</v>
          </cell>
          <cell r="G12">
            <v>92</v>
          </cell>
          <cell r="H12">
            <v>85</v>
          </cell>
          <cell r="I12">
            <v>93</v>
          </cell>
          <cell r="J12">
            <v>93</v>
          </cell>
          <cell r="K12">
            <v>87</v>
          </cell>
          <cell r="L12">
            <v>91</v>
          </cell>
          <cell r="M12">
            <v>90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F3DE-B357-4E86-AEE1-31ADDDBDD106}">
  <dimension ref="A1:AO42"/>
  <sheetViews>
    <sheetView tabSelected="1" view="pageBreakPreview" zoomScale="91" zoomScaleNormal="100" zoomScaleSheetLayoutView="91" zoomScalePageLayoutView="55" workbookViewId="0">
      <selection activeCell="Q8" sqref="Q8"/>
    </sheetView>
  </sheetViews>
  <sheetFormatPr defaultRowHeight="14.4" x14ac:dyDescent="0.3"/>
  <cols>
    <col min="1" max="1" width="4.77734375" style="3" customWidth="1"/>
    <col min="2" max="2" width="5.77734375" style="3" customWidth="1"/>
    <col min="3" max="3" width="6.77734375" style="3" customWidth="1"/>
    <col min="4" max="9" width="4.44140625" style="3" customWidth="1"/>
    <col min="10" max="10" width="5.33203125" style="3" customWidth="1"/>
    <col min="11" max="14" width="4.44140625" style="3" customWidth="1"/>
    <col min="15" max="15" width="8" style="3" customWidth="1"/>
    <col min="16" max="16" width="1.44140625" style="3" customWidth="1"/>
    <col min="17" max="17" width="21.77734375" style="3" customWidth="1"/>
    <col min="18" max="18" width="4.77734375" style="3" customWidth="1"/>
    <col min="19" max="19" width="5.77734375" style="3" customWidth="1"/>
    <col min="20" max="20" width="6.77734375" style="3" customWidth="1"/>
    <col min="21" max="26" width="4.44140625" style="3" customWidth="1"/>
    <col min="27" max="27" width="5.33203125" style="3" customWidth="1"/>
    <col min="28" max="31" width="4.44140625" style="3" customWidth="1"/>
    <col min="32" max="32" width="8" style="3" customWidth="1"/>
    <col min="33" max="33" width="1.44140625" style="3" customWidth="1"/>
    <col min="34" max="34" width="4.33203125" style="4" customWidth="1"/>
    <col min="35" max="40" width="4.44140625" style="4" customWidth="1"/>
    <col min="41" max="41" width="8.88671875" style="4"/>
    <col min="42" max="16384" width="8.88671875" style="3"/>
  </cols>
  <sheetData>
    <row r="1" spans="1:41" s="1" customFormat="1" ht="15.6" x14ac:dyDescent="0.3">
      <c r="B1" s="2" t="s">
        <v>0</v>
      </c>
      <c r="C1" s="2"/>
      <c r="J1" s="1" t="s">
        <v>1</v>
      </c>
      <c r="K1" s="27" t="str">
        <f>[1]SUMMARY!C4</f>
        <v>108065140001</v>
      </c>
      <c r="L1" s="27"/>
      <c r="M1" s="27"/>
      <c r="N1" s="27"/>
      <c r="O1" s="27"/>
      <c r="S1" s="2" t="s">
        <v>0</v>
      </c>
      <c r="T1" s="2"/>
      <c r="AA1" s="1" t="s">
        <v>1</v>
      </c>
      <c r="AB1" s="27" t="str">
        <f>[1]SUMMARY!C5</f>
        <v>108064150089</v>
      </c>
      <c r="AC1" s="27"/>
      <c r="AD1" s="27"/>
      <c r="AE1" s="27"/>
      <c r="AF1" s="27"/>
    </row>
    <row r="2" spans="1:41" ht="20.399999999999999" customHeight="1" x14ac:dyDescent="0.3">
      <c r="D2" s="28" t="s">
        <v>2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U2" s="28" t="s">
        <v>2</v>
      </c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3"/>
      <c r="AI2" s="3"/>
      <c r="AJ2" s="3"/>
      <c r="AK2" s="3"/>
      <c r="AL2" s="3"/>
      <c r="AM2" s="3"/>
      <c r="AN2" s="3"/>
      <c r="AO2" s="3"/>
    </row>
    <row r="3" spans="1:41" ht="18" x14ac:dyDescent="0.3">
      <c r="D3" s="29" t="s">
        <v>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U3" s="29" t="s">
        <v>3</v>
      </c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3"/>
      <c r="AI3" s="3"/>
      <c r="AJ3" s="3"/>
      <c r="AK3" s="3"/>
      <c r="AL3" s="3"/>
      <c r="AM3" s="3"/>
      <c r="AN3" s="3"/>
      <c r="AO3" s="3"/>
    </row>
    <row r="4" spans="1:41" x14ac:dyDescent="0.3">
      <c r="D4" s="30" t="s">
        <v>4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U4" s="30" t="s">
        <v>4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"/>
      <c r="AI4" s="3"/>
      <c r="AJ4" s="3"/>
      <c r="AK4" s="3"/>
      <c r="AL4" s="3"/>
      <c r="AM4" s="3"/>
      <c r="AN4" s="3"/>
      <c r="AO4" s="3"/>
    </row>
    <row r="5" spans="1:41" ht="14.55" customHeight="1" x14ac:dyDescent="0.3">
      <c r="D5" s="30" t="s">
        <v>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U5" s="30" t="s">
        <v>5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"/>
      <c r="AI5" s="3"/>
      <c r="AJ5" s="3"/>
      <c r="AK5" s="3"/>
      <c r="AL5" s="3"/>
      <c r="AM5" s="3"/>
      <c r="AN5" s="3"/>
      <c r="AO5" s="3"/>
    </row>
    <row r="6" spans="1:41" ht="9" customHeight="1" x14ac:dyDescent="0.3">
      <c r="AH6" s="3"/>
      <c r="AI6" s="3"/>
      <c r="AJ6" s="3"/>
      <c r="AK6" s="3"/>
      <c r="AL6" s="3"/>
      <c r="AM6" s="3"/>
      <c r="AN6" s="3"/>
      <c r="AO6" s="3"/>
    </row>
    <row r="7" spans="1:41" s="6" customFormat="1" ht="12" customHeight="1" x14ac:dyDescent="0.3">
      <c r="A7" s="5"/>
      <c r="B7" s="31" t="s">
        <v>6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R7" s="5"/>
      <c r="S7" s="31" t="s">
        <v>6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spans="1:41" ht="18.600000000000001" customHeight="1" x14ac:dyDescent="0.3">
      <c r="A8" s="33" t="s">
        <v>7</v>
      </c>
      <c r="B8" s="33"/>
      <c r="C8" s="34" t="str">
        <f>[1]SUMMARY!B4</f>
        <v>Anglo, Dranreb Eirrol Nicdao</v>
      </c>
      <c r="D8" s="34"/>
      <c r="E8" s="34"/>
      <c r="F8" s="34"/>
      <c r="G8" s="34"/>
      <c r="H8" s="34"/>
      <c r="I8" s="34"/>
      <c r="J8" s="7"/>
      <c r="K8" s="7" t="s">
        <v>8</v>
      </c>
      <c r="L8" s="32" t="str">
        <f>[1]SUMMARY!E4</f>
        <v xml:space="preserve">15 </v>
      </c>
      <c r="M8" s="32"/>
      <c r="N8" s="7" t="s">
        <v>9</v>
      </c>
      <c r="O8" s="8" t="str">
        <f>[1]SUMMARY!D4</f>
        <v>Male</v>
      </c>
      <c r="R8" s="33" t="s">
        <v>7</v>
      </c>
      <c r="S8" s="33"/>
      <c r="T8" s="34" t="str">
        <f>[1]SUMMARY!B5</f>
        <v>Cailao, Iñigo Rafael Mascardo</v>
      </c>
      <c r="U8" s="34"/>
      <c r="V8" s="34"/>
      <c r="W8" s="34"/>
      <c r="X8" s="34"/>
      <c r="Y8" s="34"/>
      <c r="Z8" s="34"/>
      <c r="AA8" s="35" t="s">
        <v>8</v>
      </c>
      <c r="AB8" s="35"/>
      <c r="AC8" s="32" t="str">
        <f>[1]SUMMARY!E5</f>
        <v xml:space="preserve">14 </v>
      </c>
      <c r="AD8" s="32"/>
      <c r="AE8" s="9" t="s">
        <v>9</v>
      </c>
      <c r="AF8" s="8" t="str">
        <f>[1]SUMMARY!D5</f>
        <v>Male</v>
      </c>
      <c r="AH8" s="3"/>
      <c r="AI8" s="3"/>
      <c r="AJ8" s="3"/>
      <c r="AK8" s="3"/>
      <c r="AL8" s="3"/>
      <c r="AM8" s="3"/>
      <c r="AN8" s="3"/>
      <c r="AO8" s="3"/>
    </row>
    <row r="9" spans="1:41" x14ac:dyDescent="0.3">
      <c r="A9" s="33" t="s">
        <v>32</v>
      </c>
      <c r="B9" s="33"/>
      <c r="C9" s="36" t="str">
        <f>[1]SUMMARY!$C$1</f>
        <v>Science</v>
      </c>
      <c r="D9" s="36"/>
      <c r="E9" s="36"/>
      <c r="F9" s="36"/>
      <c r="G9" s="36"/>
      <c r="H9" s="10"/>
      <c r="I9" s="10"/>
      <c r="J9" s="35" t="s">
        <v>10</v>
      </c>
      <c r="K9" s="35"/>
      <c r="L9" s="36">
        <f>[1]SUMMARY!$A$1</f>
        <v>10</v>
      </c>
      <c r="M9" s="36"/>
      <c r="N9" s="36"/>
      <c r="O9" s="36"/>
      <c r="R9" s="33" t="s">
        <v>32</v>
      </c>
      <c r="S9" s="33"/>
      <c r="T9" s="37" t="str">
        <f>[1]SUMMARY!$C$1</f>
        <v>Science</v>
      </c>
      <c r="U9" s="37"/>
      <c r="V9" s="37"/>
      <c r="W9" s="37"/>
      <c r="X9" s="37"/>
      <c r="Y9" s="10"/>
      <c r="Z9" s="10"/>
      <c r="AA9" s="35" t="s">
        <v>10</v>
      </c>
      <c r="AB9" s="35"/>
      <c r="AC9" s="36">
        <f>[1]SUMMARY!$A$1</f>
        <v>10</v>
      </c>
      <c r="AD9" s="36"/>
      <c r="AE9" s="36"/>
      <c r="AF9" s="36"/>
      <c r="AH9" s="3"/>
      <c r="AI9" s="3"/>
      <c r="AJ9" s="3"/>
      <c r="AK9" s="3"/>
      <c r="AL9" s="3"/>
      <c r="AM9" s="3"/>
      <c r="AN9" s="3"/>
      <c r="AO9" s="3"/>
    </row>
    <row r="10" spans="1:41" x14ac:dyDescent="0.3">
      <c r="A10" s="33" t="s">
        <v>11</v>
      </c>
      <c r="B10" s="33"/>
      <c r="C10" s="36" t="str">
        <f>[1]SUMMARY!$D$1</f>
        <v>2024-2025</v>
      </c>
      <c r="D10" s="36"/>
      <c r="E10" s="36"/>
      <c r="F10" s="36"/>
      <c r="G10" s="36"/>
      <c r="H10" s="10"/>
      <c r="I10" s="10"/>
      <c r="J10" s="35" t="s">
        <v>12</v>
      </c>
      <c r="K10" s="35"/>
      <c r="L10" s="36" t="str">
        <f>[1]SUMMARY!$B$1</f>
        <v>Agoho</v>
      </c>
      <c r="M10" s="36"/>
      <c r="N10" s="36"/>
      <c r="O10" s="36"/>
      <c r="R10" s="33" t="s">
        <v>11</v>
      </c>
      <c r="S10" s="33"/>
      <c r="T10" s="37" t="str">
        <f>[1]SUMMARY!$D$1</f>
        <v>2024-2025</v>
      </c>
      <c r="U10" s="37"/>
      <c r="V10" s="37"/>
      <c r="W10" s="37"/>
      <c r="X10" s="37"/>
      <c r="Y10" s="10"/>
      <c r="Z10" s="10"/>
      <c r="AA10" s="35" t="s">
        <v>12</v>
      </c>
      <c r="AB10" s="35"/>
      <c r="AC10" s="37" t="str">
        <f>[1]SUMMARY!$B$1</f>
        <v>Agoho</v>
      </c>
      <c r="AD10" s="37"/>
      <c r="AE10" s="37"/>
      <c r="AF10" s="37"/>
      <c r="AH10" s="3"/>
      <c r="AI10" s="3"/>
      <c r="AJ10" s="3"/>
      <c r="AK10" s="3"/>
      <c r="AL10" s="3"/>
      <c r="AM10" s="3"/>
      <c r="AN10" s="3"/>
      <c r="AO10" s="3"/>
    </row>
    <row r="11" spans="1:41" ht="8.5500000000000007" customHeight="1" x14ac:dyDescent="0.3">
      <c r="AH11" s="3"/>
      <c r="AI11" s="3"/>
      <c r="AJ11" s="3"/>
      <c r="AK11" s="3"/>
      <c r="AL11" s="3"/>
      <c r="AM11" s="3"/>
      <c r="AN11" s="3"/>
      <c r="AO11" s="3"/>
    </row>
    <row r="12" spans="1:41" s="11" customFormat="1" ht="14.55" customHeight="1" x14ac:dyDescent="0.3">
      <c r="B12" s="38" t="s">
        <v>13</v>
      </c>
      <c r="C12" s="38"/>
      <c r="D12" s="38"/>
      <c r="E12" s="38"/>
      <c r="F12" s="38"/>
      <c r="G12" s="38" t="s">
        <v>14</v>
      </c>
      <c r="H12" s="38"/>
      <c r="I12" s="38"/>
      <c r="J12" s="38"/>
      <c r="K12" s="39" t="s">
        <v>15</v>
      </c>
      <c r="L12" s="40"/>
      <c r="M12" s="43" t="s">
        <v>16</v>
      </c>
      <c r="N12" s="43"/>
      <c r="S12" s="44" t="s">
        <v>13</v>
      </c>
      <c r="T12" s="45"/>
      <c r="U12" s="45"/>
      <c r="V12" s="45"/>
      <c r="W12" s="46"/>
      <c r="X12" s="38" t="s">
        <v>14</v>
      </c>
      <c r="Y12" s="38"/>
      <c r="Z12" s="38"/>
      <c r="AA12" s="38"/>
      <c r="AB12" s="39" t="s">
        <v>15</v>
      </c>
      <c r="AC12" s="40"/>
      <c r="AD12" s="43" t="s">
        <v>16</v>
      </c>
      <c r="AE12" s="43"/>
    </row>
    <row r="13" spans="1:41" s="11" customFormat="1" x14ac:dyDescent="0.3">
      <c r="B13" s="38"/>
      <c r="C13" s="38"/>
      <c r="D13" s="38"/>
      <c r="E13" s="38"/>
      <c r="F13" s="38"/>
      <c r="G13" s="12">
        <v>1</v>
      </c>
      <c r="H13" s="12">
        <v>2</v>
      </c>
      <c r="I13" s="12">
        <v>3</v>
      </c>
      <c r="J13" s="12">
        <v>4</v>
      </c>
      <c r="K13" s="41"/>
      <c r="L13" s="42"/>
      <c r="M13" s="43"/>
      <c r="N13" s="43"/>
      <c r="S13" s="47"/>
      <c r="T13" s="48"/>
      <c r="U13" s="48"/>
      <c r="V13" s="48"/>
      <c r="W13" s="49"/>
      <c r="X13" s="12">
        <v>1</v>
      </c>
      <c r="Y13" s="12">
        <v>2</v>
      </c>
      <c r="Z13" s="12">
        <v>3</v>
      </c>
      <c r="AA13" s="12">
        <v>4</v>
      </c>
      <c r="AB13" s="41"/>
      <c r="AC13" s="42"/>
      <c r="AD13" s="43"/>
      <c r="AE13" s="43"/>
    </row>
    <row r="14" spans="1:41" ht="15.6" x14ac:dyDescent="0.3">
      <c r="B14" s="50" t="str">
        <f>[1]SUMMARY!$F$1&amp;" "&amp;[1]SUMMARY!$J$1</f>
        <v>Filipino 4</v>
      </c>
      <c r="C14" s="51"/>
      <c r="D14" s="51"/>
      <c r="E14" s="51"/>
      <c r="F14" s="52"/>
      <c r="G14" s="13">
        <f>'[1]1Q'!$C11</f>
        <v>84</v>
      </c>
      <c r="H14" s="13">
        <f>'[1]2Q'!$C11</f>
        <v>88</v>
      </c>
      <c r="I14" s="13">
        <f>'[1]3Q'!$C11</f>
        <v>95</v>
      </c>
      <c r="J14" s="13">
        <f>'[1]4Q'!$C11</f>
        <v>93</v>
      </c>
      <c r="K14" s="53">
        <f>[1]Q!$C11</f>
        <v>90</v>
      </c>
      <c r="L14" s="54">
        <f>'[1]4Q'!H11</f>
        <v>98</v>
      </c>
      <c r="M14" s="55" t="str">
        <f>IF(K14&gt;75,"PASSED","FAILED")</f>
        <v>PASSED</v>
      </c>
      <c r="N14" s="55"/>
      <c r="S14" s="50" t="str">
        <f>[1]SUMMARY!$F$1&amp;" "&amp;[1]SUMMARY!$J$1</f>
        <v>Filipino 4</v>
      </c>
      <c r="T14" s="51"/>
      <c r="U14" s="51"/>
      <c r="V14" s="51"/>
      <c r="W14" s="52"/>
      <c r="X14" s="13">
        <f>'[1]1Q'!$C12</f>
        <v>87</v>
      </c>
      <c r="Y14" s="13">
        <f>'[1]2Q'!$C12</f>
        <v>87</v>
      </c>
      <c r="Z14" s="13">
        <f>'[1]3Q'!$C12</f>
        <v>89</v>
      </c>
      <c r="AA14" s="13">
        <f>'[1]4Q'!$C12</f>
        <v>91</v>
      </c>
      <c r="AB14" s="53">
        <f>[1]Q!$C12</f>
        <v>89</v>
      </c>
      <c r="AC14" s="54">
        <f>'[1]4Q'!V11</f>
        <v>0</v>
      </c>
      <c r="AD14" s="55" t="str">
        <f>IF(AB14&gt;75,"PASSED","FAILED")</f>
        <v>PASSED</v>
      </c>
      <c r="AE14" s="55"/>
      <c r="AH14" s="3"/>
      <c r="AI14" s="3"/>
      <c r="AJ14" s="3"/>
      <c r="AK14" s="3"/>
      <c r="AL14" s="3"/>
      <c r="AM14" s="3"/>
      <c r="AN14" s="3"/>
      <c r="AO14" s="3"/>
    </row>
    <row r="15" spans="1:41" ht="15.6" x14ac:dyDescent="0.3">
      <c r="B15" s="50" t="str">
        <f>[1]SUMMARY!$K$1&amp;" "&amp;[1]SUMMARY!$O$1</f>
        <v>English  4</v>
      </c>
      <c r="C15" s="51"/>
      <c r="D15" s="51"/>
      <c r="E15" s="51"/>
      <c r="F15" s="52"/>
      <c r="G15" s="13">
        <f>'[1]1Q'!$D11</f>
        <v>90</v>
      </c>
      <c r="H15" s="13">
        <f>'[1]2Q'!$D11</f>
        <v>89</v>
      </c>
      <c r="I15" s="13">
        <f>'[1]3Q'!$D11</f>
        <v>95</v>
      </c>
      <c r="J15" s="13">
        <f>'[1]4Q'!$D11</f>
        <v>96</v>
      </c>
      <c r="K15" s="53">
        <f>[1]Q!$D11</f>
        <v>93</v>
      </c>
      <c r="L15" s="54">
        <f>'[1]4Q'!I11</f>
        <v>95</v>
      </c>
      <c r="M15" s="55" t="str">
        <f t="shared" ref="M15:M23" si="0">IF(K15&gt;75,"PASSED","FAILED")</f>
        <v>PASSED</v>
      </c>
      <c r="N15" s="55"/>
      <c r="S15" s="50" t="str">
        <f>[1]SUMMARY!$K$1&amp;" "&amp;[1]SUMMARY!$O$1</f>
        <v>English  4</v>
      </c>
      <c r="T15" s="51"/>
      <c r="U15" s="51"/>
      <c r="V15" s="51"/>
      <c r="W15" s="52"/>
      <c r="X15" s="13">
        <f>'[1]1Q'!$D12</f>
        <v>90</v>
      </c>
      <c r="Y15" s="13">
        <f>'[1]2Q'!$D12</f>
        <v>85</v>
      </c>
      <c r="Z15" s="13">
        <f>'[1]3Q'!$D12</f>
        <v>94</v>
      </c>
      <c r="AA15" s="13">
        <f>'[1]4Q'!$D12</f>
        <v>90</v>
      </c>
      <c r="AB15" s="53">
        <f>[1]Q!$D12</f>
        <v>90</v>
      </c>
      <c r="AC15" s="54">
        <f>'[1]4Q'!W11</f>
        <v>0</v>
      </c>
      <c r="AD15" s="55" t="str">
        <f t="shared" ref="AD15:AD23" si="1">IF(AB15&gt;75,"PASSED","FAILED")</f>
        <v>PASSED</v>
      </c>
      <c r="AE15" s="55"/>
      <c r="AH15" s="3"/>
      <c r="AI15" s="3"/>
      <c r="AJ15" s="3"/>
      <c r="AK15" s="3"/>
      <c r="AL15" s="3"/>
      <c r="AM15" s="3"/>
      <c r="AN15" s="3"/>
      <c r="AO15" s="3"/>
    </row>
    <row r="16" spans="1:41" ht="15.6" x14ac:dyDescent="0.3">
      <c r="B16" s="50" t="str">
        <f>[1]SUMMARY!$P$1&amp;" "&amp;[1]SUMMARY!$T$1</f>
        <v>Mathematics  6</v>
      </c>
      <c r="C16" s="51"/>
      <c r="D16" s="51"/>
      <c r="E16" s="51"/>
      <c r="F16" s="52"/>
      <c r="G16" s="13">
        <f>'[1]1Q'!$E11</f>
        <v>91</v>
      </c>
      <c r="H16" s="13">
        <f>'[1]2Q'!$E11</f>
        <v>92</v>
      </c>
      <c r="I16" s="13">
        <f>'[1]3Q'!$E11</f>
        <v>92</v>
      </c>
      <c r="J16" s="13">
        <f>'[1]4Q'!$E11</f>
        <v>96</v>
      </c>
      <c r="K16" s="53">
        <f>[1]Q!$E11</f>
        <v>93</v>
      </c>
      <c r="L16" s="54">
        <f>'[1]4Q'!J11</f>
        <v>94</v>
      </c>
      <c r="M16" s="55" t="str">
        <f t="shared" si="0"/>
        <v>PASSED</v>
      </c>
      <c r="N16" s="55"/>
      <c r="S16" s="50" t="str">
        <f>[1]SUMMARY!$P$1&amp;" "&amp;[1]SUMMARY!$T$1</f>
        <v>Mathematics  6</v>
      </c>
      <c r="T16" s="51"/>
      <c r="U16" s="51"/>
      <c r="V16" s="51"/>
      <c r="W16" s="52"/>
      <c r="X16" s="13">
        <f>'[1]1Q'!$E12</f>
        <v>86</v>
      </c>
      <c r="Y16" s="13">
        <f>'[1]2Q'!$E12</f>
        <v>87</v>
      </c>
      <c r="Z16" s="13">
        <f>'[1]3Q'!$E12</f>
        <v>86</v>
      </c>
      <c r="AA16" s="13">
        <f>'[1]4Q'!$E12</f>
        <v>96</v>
      </c>
      <c r="AB16" s="53">
        <f>[1]Q!$E12</f>
        <v>89</v>
      </c>
      <c r="AC16" s="54">
        <f>'[1]4Q'!X11</f>
        <v>0</v>
      </c>
      <c r="AD16" s="55" t="str">
        <f t="shared" si="1"/>
        <v>PASSED</v>
      </c>
      <c r="AE16" s="55"/>
      <c r="AH16" s="3"/>
      <c r="AI16" s="3"/>
      <c r="AJ16" s="3"/>
      <c r="AK16" s="3"/>
      <c r="AL16" s="3"/>
      <c r="AM16" s="3"/>
      <c r="AN16" s="3"/>
      <c r="AO16" s="3"/>
    </row>
    <row r="17" spans="1:41" ht="15.6" x14ac:dyDescent="0.3">
      <c r="B17" s="50" t="str">
        <f>[1]SUMMARY!$U$1&amp;" "&amp;[1]SUMMARY!$Y$1</f>
        <v>Science  5</v>
      </c>
      <c r="C17" s="51"/>
      <c r="D17" s="51"/>
      <c r="E17" s="51"/>
      <c r="F17" s="52"/>
      <c r="G17" s="13">
        <f>'[1]1Q'!$F11</f>
        <v>89</v>
      </c>
      <c r="H17" s="13">
        <f>'[1]2Q'!$F11</f>
        <v>92</v>
      </c>
      <c r="I17" s="13">
        <f>'[1]3Q'!$F11</f>
        <v>91</v>
      </c>
      <c r="J17" s="13">
        <f>'[1]4Q'!$F11</f>
        <v>89</v>
      </c>
      <c r="K17" s="53">
        <f>[1]Q!$F11</f>
        <v>90</v>
      </c>
      <c r="L17" s="54">
        <f>'[1]4Q'!K11</f>
        <v>95</v>
      </c>
      <c r="M17" s="55" t="str">
        <f t="shared" si="0"/>
        <v>PASSED</v>
      </c>
      <c r="N17" s="55"/>
      <c r="S17" s="50" t="str">
        <f>[1]SUMMARY!$U$1&amp;" "&amp;[1]SUMMARY!$Y$1</f>
        <v>Science  5</v>
      </c>
      <c r="T17" s="51"/>
      <c r="U17" s="51"/>
      <c r="V17" s="51"/>
      <c r="W17" s="52"/>
      <c r="X17" s="13">
        <f>'[1]1Q'!$F12</f>
        <v>91</v>
      </c>
      <c r="Y17" s="13">
        <f>'[1]2Q'!$F12</f>
        <v>89</v>
      </c>
      <c r="Z17" s="13">
        <f>'[1]3Q'!$F12</f>
        <v>83</v>
      </c>
      <c r="AA17" s="13">
        <f>'[1]4Q'!$F12</f>
        <v>88</v>
      </c>
      <c r="AB17" s="53">
        <f>[1]Q!$F12</f>
        <v>88</v>
      </c>
      <c r="AC17" s="54">
        <f>'[1]4Q'!Y11</f>
        <v>0</v>
      </c>
      <c r="AD17" s="55" t="str">
        <f t="shared" si="1"/>
        <v>PASSED</v>
      </c>
      <c r="AE17" s="55"/>
      <c r="AH17" s="3"/>
      <c r="AI17" s="3"/>
      <c r="AJ17" s="3"/>
      <c r="AK17" s="3"/>
      <c r="AL17" s="3"/>
      <c r="AM17" s="3"/>
      <c r="AN17" s="3"/>
      <c r="AO17" s="3"/>
    </row>
    <row r="18" spans="1:41" ht="15.6" x14ac:dyDescent="0.3">
      <c r="B18" s="50" t="str">
        <f>[1]SUMMARY!$Z$1&amp;" "&amp;[1]SUMMARY!$AD$1</f>
        <v>Araling Panlipunan  4</v>
      </c>
      <c r="C18" s="51"/>
      <c r="D18" s="51"/>
      <c r="E18" s="51"/>
      <c r="F18" s="52"/>
      <c r="G18" s="13">
        <f>'[1]1Q'!$G11</f>
        <v>92</v>
      </c>
      <c r="H18" s="13">
        <f>'[1]2Q'!$G11</f>
        <v>87</v>
      </c>
      <c r="I18" s="13">
        <f>'[1]3Q'!$G11</f>
        <v>95</v>
      </c>
      <c r="J18" s="13">
        <f>'[1]4Q'!$G11</f>
        <v>97</v>
      </c>
      <c r="K18" s="53">
        <f>[1]Q!$G11</f>
        <v>93</v>
      </c>
      <c r="L18" s="54">
        <f>'[1]4Q'!L11</f>
        <v>96</v>
      </c>
      <c r="M18" s="55" t="str">
        <f t="shared" si="0"/>
        <v>PASSED</v>
      </c>
      <c r="N18" s="55"/>
      <c r="S18" s="50" t="str">
        <f>[1]SUMMARY!$Z$1&amp;" "&amp;[1]SUMMARY!$AD$1</f>
        <v>Araling Panlipunan  4</v>
      </c>
      <c r="T18" s="51"/>
      <c r="U18" s="51"/>
      <c r="V18" s="51"/>
      <c r="W18" s="52"/>
      <c r="X18" s="13">
        <f>'[1]1Q'!$G12</f>
        <v>91</v>
      </c>
      <c r="Y18" s="13">
        <f>'[1]2Q'!$G12</f>
        <v>87</v>
      </c>
      <c r="Z18" s="13">
        <f>'[1]3Q'!$G12</f>
        <v>94</v>
      </c>
      <c r="AA18" s="13">
        <f>'[1]4Q'!$G12</f>
        <v>96</v>
      </c>
      <c r="AB18" s="53">
        <f>[1]Q!$G12</f>
        <v>92</v>
      </c>
      <c r="AC18" s="54">
        <f>'[1]4Q'!Z11</f>
        <v>0</v>
      </c>
      <c r="AD18" s="55" t="str">
        <f t="shared" si="1"/>
        <v>PASSED</v>
      </c>
      <c r="AE18" s="55"/>
      <c r="AH18" s="3"/>
      <c r="AI18" s="3"/>
      <c r="AJ18" s="3"/>
      <c r="AK18" s="3"/>
      <c r="AL18" s="3"/>
      <c r="AM18" s="3"/>
      <c r="AN18" s="3"/>
      <c r="AO18" s="3"/>
    </row>
    <row r="19" spans="1:41" ht="15.6" x14ac:dyDescent="0.3">
      <c r="B19" s="56" t="str">
        <f>[1]SUMMARY!$AE$1&amp;" "&amp;[1]SUMMARY!$AI$1</f>
        <v>Technology and Livelihood Education 4</v>
      </c>
      <c r="C19" s="57"/>
      <c r="D19" s="57"/>
      <c r="E19" s="57"/>
      <c r="F19" s="58"/>
      <c r="G19" s="13">
        <f>'[1]1Q'!$H11</f>
        <v>80</v>
      </c>
      <c r="H19" s="13">
        <f>'[1]2Q'!$H11</f>
        <v>84</v>
      </c>
      <c r="I19" s="13">
        <f>'[1]3Q'!$H11</f>
        <v>90</v>
      </c>
      <c r="J19" s="13">
        <f>'[1]4Q'!$H11</f>
        <v>98</v>
      </c>
      <c r="K19" s="53">
        <f>[1]Q!$H11</f>
        <v>88</v>
      </c>
      <c r="L19" s="54">
        <f>'[1]4Q'!M11</f>
        <v>94.9</v>
      </c>
      <c r="M19" s="55" t="str">
        <f t="shared" si="0"/>
        <v>PASSED</v>
      </c>
      <c r="N19" s="55"/>
      <c r="S19" s="56" t="str">
        <f>[1]SUMMARY!$AE$1&amp;" "&amp;[1]SUMMARY!$AI$1</f>
        <v>Technology and Livelihood Education 4</v>
      </c>
      <c r="T19" s="57"/>
      <c r="U19" s="57"/>
      <c r="V19" s="57"/>
      <c r="W19" s="58"/>
      <c r="X19" s="13">
        <f>'[1]1Q'!$H12</f>
        <v>82</v>
      </c>
      <c r="Y19" s="13">
        <f>'[1]2Q'!$H12</f>
        <v>80</v>
      </c>
      <c r="Z19" s="13">
        <f>'[1]3Q'!$H12</f>
        <v>84</v>
      </c>
      <c r="AA19" s="13">
        <f>'[1]4Q'!$H12</f>
        <v>95</v>
      </c>
      <c r="AB19" s="53">
        <f>[1]Q!$H12</f>
        <v>85</v>
      </c>
      <c r="AC19" s="54">
        <f>'[1]4Q'!AA11</f>
        <v>0</v>
      </c>
      <c r="AD19" s="55" t="str">
        <f t="shared" si="1"/>
        <v>PASSED</v>
      </c>
      <c r="AE19" s="55"/>
      <c r="AH19" s="3"/>
      <c r="AI19" s="3"/>
      <c r="AJ19" s="3"/>
      <c r="AK19" s="3"/>
      <c r="AL19" s="3"/>
      <c r="AM19" s="3"/>
      <c r="AN19" s="3"/>
      <c r="AO19" s="3"/>
    </row>
    <row r="20" spans="1:41" ht="15.6" x14ac:dyDescent="0.3">
      <c r="B20" s="50" t="str">
        <f>[1]SUMMARY!$AJ$1&amp;" "&amp;[1]SUMMARY!$AN$1</f>
        <v>Music, Arts, PE and Health  4</v>
      </c>
      <c r="C20" s="51"/>
      <c r="D20" s="51"/>
      <c r="E20" s="51"/>
      <c r="F20" s="52"/>
      <c r="G20" s="13">
        <f>'[1]1Q'!$I11</f>
        <v>89</v>
      </c>
      <c r="H20" s="13">
        <f>'[1]2Q'!$I11</f>
        <v>97</v>
      </c>
      <c r="I20" s="13">
        <f>'[1]3Q'!$I11</f>
        <v>97</v>
      </c>
      <c r="J20" s="13">
        <f>'[1]4Q'!$I11</f>
        <v>95</v>
      </c>
      <c r="K20" s="53">
        <f>[1]Q!$I11</f>
        <v>95</v>
      </c>
      <c r="L20" s="54">
        <f>'[1]4Q'!M12</f>
        <v>93.4</v>
      </c>
      <c r="M20" s="55" t="str">
        <f t="shared" si="0"/>
        <v>PASSED</v>
      </c>
      <c r="N20" s="55"/>
      <c r="S20" s="50" t="str">
        <f>[1]SUMMARY!$AJ$1&amp;" "&amp;[1]SUMMARY!$AN$1</f>
        <v>Music, Arts, PE and Health  4</v>
      </c>
      <c r="T20" s="51"/>
      <c r="U20" s="51"/>
      <c r="V20" s="51"/>
      <c r="W20" s="52"/>
      <c r="X20" s="13">
        <f>'[1]1Q'!$I12</f>
        <v>87</v>
      </c>
      <c r="Y20" s="13">
        <f>'[1]2Q'!$I12</f>
        <v>94</v>
      </c>
      <c r="Z20" s="13">
        <f>'[1]3Q'!$I12</f>
        <v>95</v>
      </c>
      <c r="AA20" s="13">
        <f>'[1]4Q'!$I12</f>
        <v>95</v>
      </c>
      <c r="AB20" s="53">
        <f>[1]Q!$I12</f>
        <v>93</v>
      </c>
      <c r="AC20" s="54">
        <f>'[1]4Q'!AA12</f>
        <v>0</v>
      </c>
      <c r="AD20" s="55" t="str">
        <f t="shared" si="1"/>
        <v>PASSED</v>
      </c>
      <c r="AE20" s="55"/>
      <c r="AH20" s="3"/>
      <c r="AI20" s="3"/>
      <c r="AJ20" s="3"/>
      <c r="AK20" s="3"/>
      <c r="AL20" s="3"/>
      <c r="AM20" s="3"/>
      <c r="AN20" s="3"/>
      <c r="AO20" s="3"/>
    </row>
    <row r="21" spans="1:41" ht="15.6" x14ac:dyDescent="0.3">
      <c r="B21" s="50" t="str">
        <f>[1]SUMMARY!$AO$1&amp;" "&amp;[1]SUMMARY!$AS$1</f>
        <v>Edukasyon sa Pagpapakatao 4</v>
      </c>
      <c r="C21" s="51"/>
      <c r="D21" s="51"/>
      <c r="E21" s="51"/>
      <c r="F21" s="52"/>
      <c r="G21" s="13">
        <f>'[1]1Q'!$J11</f>
        <v>95</v>
      </c>
      <c r="H21" s="13">
        <f>'[1]2Q'!$J11</f>
        <v>91</v>
      </c>
      <c r="I21" s="13">
        <f>'[1]3Q'!$J11</f>
        <v>92</v>
      </c>
      <c r="J21" s="14">
        <f>'[1]4Q'!$J11</f>
        <v>94</v>
      </c>
      <c r="K21" s="53">
        <f>[1]Q!$J11</f>
        <v>93</v>
      </c>
      <c r="L21" s="54" t="e">
        <f>'[1]4Q'!#REF!</f>
        <v>#REF!</v>
      </c>
      <c r="M21" s="55" t="str">
        <f t="shared" si="0"/>
        <v>PASSED</v>
      </c>
      <c r="N21" s="55"/>
      <c r="S21" s="50" t="str">
        <f>[1]SUMMARY!$AO$1&amp;" "&amp;[1]SUMMARY!$AS$1</f>
        <v>Edukasyon sa Pagpapakatao 4</v>
      </c>
      <c r="T21" s="51"/>
      <c r="U21" s="51"/>
      <c r="V21" s="51"/>
      <c r="W21" s="52"/>
      <c r="X21" s="13">
        <f>'[1]1Q'!$J12</f>
        <v>95</v>
      </c>
      <c r="Y21" s="13">
        <f>'[1]2Q'!$J12</f>
        <v>90</v>
      </c>
      <c r="Z21" s="13">
        <f>'[1]3Q'!$J12</f>
        <v>92</v>
      </c>
      <c r="AA21" s="14">
        <f>'[1]4Q'!$J12</f>
        <v>94</v>
      </c>
      <c r="AB21" s="53">
        <f>[1]Q!$J12</f>
        <v>93</v>
      </c>
      <c r="AC21" s="54">
        <f>'[1]4Q'!AC11</f>
        <v>0</v>
      </c>
      <c r="AD21" s="55" t="str">
        <f t="shared" si="1"/>
        <v>PASSED</v>
      </c>
      <c r="AE21" s="55"/>
      <c r="AH21" s="3"/>
      <c r="AI21" s="3"/>
      <c r="AJ21" s="3"/>
      <c r="AK21" s="3"/>
      <c r="AL21" s="3"/>
      <c r="AM21" s="3"/>
      <c r="AN21" s="3"/>
      <c r="AO21" s="3"/>
    </row>
    <row r="22" spans="1:41" ht="15.6" x14ac:dyDescent="0.3">
      <c r="B22" s="50" t="str">
        <f>[1]SUMMARY!$AT$1&amp;" "&amp;[1]SUMMARY!$AX$1</f>
        <v xml:space="preserve">Advanced Biology </v>
      </c>
      <c r="C22" s="51"/>
      <c r="D22" s="51"/>
      <c r="E22" s="51"/>
      <c r="F22" s="52"/>
      <c r="G22" s="13">
        <f>'[1]1Q'!$K11</f>
        <v>89</v>
      </c>
      <c r="H22" s="13">
        <f>'[1]2Q'!$K11</f>
        <v>92</v>
      </c>
      <c r="I22" s="14">
        <f>'[1]3Q'!$K11</f>
        <v>89</v>
      </c>
      <c r="J22" s="13">
        <f>'[1]4Q'!$K11</f>
        <v>95</v>
      </c>
      <c r="K22" s="53">
        <f>[1]Q!$K11</f>
        <v>91</v>
      </c>
      <c r="L22" s="54" t="e">
        <f>'[1]4Q'!#REF!</f>
        <v>#REF!</v>
      </c>
      <c r="M22" s="55" t="str">
        <f t="shared" si="0"/>
        <v>PASSED</v>
      </c>
      <c r="N22" s="55"/>
      <c r="S22" s="50" t="str">
        <f>[1]SUMMARY!$AT$1&amp;" "&amp;[1]SUMMARY!$AX$1</f>
        <v xml:space="preserve">Advanced Biology </v>
      </c>
      <c r="T22" s="51"/>
      <c r="U22" s="51"/>
      <c r="V22" s="51"/>
      <c r="W22" s="52"/>
      <c r="X22" s="13">
        <f>'[1]1Q'!$K12</f>
        <v>81</v>
      </c>
      <c r="Y22" s="13">
        <f>'[1]2Q'!$K12</f>
        <v>85</v>
      </c>
      <c r="Z22" s="14">
        <f>'[1]3Q'!$K12</f>
        <v>86</v>
      </c>
      <c r="AA22" s="13">
        <f>'[1]4Q'!$K12</f>
        <v>94</v>
      </c>
      <c r="AB22" s="53">
        <f>[1]Q!$K12</f>
        <v>87</v>
      </c>
      <c r="AC22" s="54">
        <f>'[1]4Q'!AD11</f>
        <v>0</v>
      </c>
      <c r="AD22" s="55" t="str">
        <f t="shared" si="1"/>
        <v>PASSED</v>
      </c>
      <c r="AE22" s="55"/>
      <c r="AH22" s="3"/>
      <c r="AI22" s="3"/>
      <c r="AJ22" s="3"/>
      <c r="AK22" s="3"/>
      <c r="AL22" s="3"/>
      <c r="AM22" s="3"/>
      <c r="AN22" s="3"/>
      <c r="AO22" s="3"/>
    </row>
    <row r="23" spans="1:41" ht="15.6" x14ac:dyDescent="0.3">
      <c r="B23" s="50" t="str">
        <f>[1]SUMMARY!$AY$1&amp;" "&amp;[1]SUMMARY!$BC$1</f>
        <v>Research  3</v>
      </c>
      <c r="C23" s="51"/>
      <c r="D23" s="51"/>
      <c r="E23" s="51"/>
      <c r="F23" s="52"/>
      <c r="G23" s="13">
        <f>'[1]1Q'!$L11</f>
        <v>91</v>
      </c>
      <c r="H23" s="13">
        <f>'[1]2Q'!$L11</f>
        <v>93</v>
      </c>
      <c r="I23" s="13">
        <f>'[1]3Q'!$L11</f>
        <v>95</v>
      </c>
      <c r="J23" s="13">
        <f>'[1]4Q'!$L11</f>
        <v>96</v>
      </c>
      <c r="K23" s="53">
        <f>[1]Q!$L11</f>
        <v>94</v>
      </c>
      <c r="L23" s="54" t="e">
        <f>'[1]4Q'!#REF!</f>
        <v>#REF!</v>
      </c>
      <c r="M23" s="55" t="str">
        <f t="shared" si="0"/>
        <v>PASSED</v>
      </c>
      <c r="N23" s="55"/>
      <c r="S23" s="50" t="str">
        <f>[1]SUMMARY!$AY$1&amp;" "&amp;[1]SUMMARY!$BC$1</f>
        <v>Research  3</v>
      </c>
      <c r="T23" s="51"/>
      <c r="U23" s="51"/>
      <c r="V23" s="51"/>
      <c r="W23" s="52"/>
      <c r="X23" s="13">
        <f>'[1]1Q'!$L12</f>
        <v>86</v>
      </c>
      <c r="Y23" s="13">
        <f>'[1]2Q'!$L12</f>
        <v>89</v>
      </c>
      <c r="Z23" s="13">
        <f>'[1]3Q'!$L12</f>
        <v>93</v>
      </c>
      <c r="AA23" s="13">
        <f>'[1]4Q'!$L12</f>
        <v>95</v>
      </c>
      <c r="AB23" s="53">
        <f>[1]Q!$L12</f>
        <v>91</v>
      </c>
      <c r="AC23" s="54">
        <f>'[1]4Q'!AE11</f>
        <v>0</v>
      </c>
      <c r="AD23" s="55" t="str">
        <f t="shared" si="1"/>
        <v>PASSED</v>
      </c>
      <c r="AE23" s="55"/>
      <c r="AH23" s="3"/>
      <c r="AI23" s="3"/>
      <c r="AJ23" s="3"/>
      <c r="AK23" s="3"/>
      <c r="AL23" s="3"/>
      <c r="AM23" s="3"/>
      <c r="AN23" s="3"/>
      <c r="AO23" s="3"/>
    </row>
    <row r="24" spans="1:41" ht="21" x14ac:dyDescent="0.3">
      <c r="A24" s="6"/>
      <c r="B24" s="15"/>
      <c r="C24" s="15"/>
      <c r="D24" s="15"/>
      <c r="E24" s="15"/>
      <c r="F24" s="15"/>
      <c r="G24" s="16" t="s">
        <v>17</v>
      </c>
      <c r="H24" s="16"/>
      <c r="I24" s="16"/>
      <c r="J24" s="16"/>
      <c r="K24" s="59">
        <f>[1]Q!$M11</f>
        <v>92</v>
      </c>
      <c r="L24" s="59"/>
      <c r="M24" s="15"/>
      <c r="N24" s="15"/>
      <c r="O24" s="17"/>
      <c r="P24" s="17"/>
      <c r="Q24" s="6"/>
      <c r="R24" s="6"/>
      <c r="S24" s="15"/>
      <c r="T24" s="15"/>
      <c r="U24" s="15"/>
      <c r="V24" s="15"/>
      <c r="W24" s="15"/>
      <c r="X24" s="16" t="s">
        <v>17</v>
      </c>
      <c r="Y24" s="16"/>
      <c r="Z24" s="16"/>
      <c r="AA24" s="16"/>
      <c r="AB24" s="59">
        <f>[1]Q!$M12</f>
        <v>90</v>
      </c>
      <c r="AC24" s="59"/>
      <c r="AD24" s="15"/>
      <c r="AE24" s="15"/>
      <c r="AF24" s="17"/>
      <c r="AG24" s="17"/>
      <c r="AH24" s="3"/>
      <c r="AI24" s="3"/>
      <c r="AJ24" s="3"/>
      <c r="AK24" s="3"/>
      <c r="AL24" s="3"/>
      <c r="AM24" s="3"/>
      <c r="AN24" s="3"/>
      <c r="AO24" s="3"/>
    </row>
    <row r="25" spans="1:41" x14ac:dyDescent="0.3">
      <c r="B25" s="60" t="s">
        <v>18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S25" s="60" t="s">
        <v>18</v>
      </c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3"/>
      <c r="AI25" s="3"/>
      <c r="AJ25" s="3"/>
      <c r="AK25" s="3"/>
      <c r="AL25" s="3"/>
      <c r="AM25" s="3"/>
      <c r="AN25" s="3"/>
      <c r="AO25" s="3"/>
    </row>
    <row r="26" spans="1:41" ht="24.6" x14ac:dyDescent="0.3">
      <c r="A26" s="61"/>
      <c r="B26" s="62"/>
      <c r="C26" s="18" t="s">
        <v>33</v>
      </c>
      <c r="D26" s="18" t="s">
        <v>34</v>
      </c>
      <c r="E26" s="18" t="s">
        <v>35</v>
      </c>
      <c r="F26" s="18" t="s">
        <v>36</v>
      </c>
      <c r="G26" s="18" t="s">
        <v>37</v>
      </c>
      <c r="H26" s="18" t="s">
        <v>38</v>
      </c>
      <c r="I26" s="18" t="s">
        <v>39</v>
      </c>
      <c r="J26" s="18" t="s">
        <v>40</v>
      </c>
      <c r="K26" s="18" t="s">
        <v>41</v>
      </c>
      <c r="L26" s="18" t="s">
        <v>42</v>
      </c>
      <c r="M26" s="18" t="s">
        <v>43</v>
      </c>
      <c r="N26" s="18">
        <f>[1]SUMMARY!$BT$3</f>
        <v>0</v>
      </c>
      <c r="O26" s="63" t="s">
        <v>19</v>
      </c>
      <c r="P26" s="63"/>
      <c r="R26" s="61"/>
      <c r="S26" s="62"/>
      <c r="T26" s="18" t="s">
        <v>33</v>
      </c>
      <c r="U26" s="18" t="s">
        <v>34</v>
      </c>
      <c r="V26" s="18" t="s">
        <v>35</v>
      </c>
      <c r="W26" s="18" t="s">
        <v>36</v>
      </c>
      <c r="X26" s="18" t="s">
        <v>37</v>
      </c>
      <c r="Y26" s="18" t="s">
        <v>38</v>
      </c>
      <c r="Z26" s="18" t="s">
        <v>39</v>
      </c>
      <c r="AA26" s="18" t="s">
        <v>40</v>
      </c>
      <c r="AB26" s="18" t="s">
        <v>41</v>
      </c>
      <c r="AC26" s="18" t="s">
        <v>42</v>
      </c>
      <c r="AD26" s="18" t="s">
        <v>43</v>
      </c>
      <c r="AE26" s="18">
        <f>[1]SUMMARY!$BT$3</f>
        <v>0</v>
      </c>
      <c r="AF26" s="63" t="s">
        <v>19</v>
      </c>
      <c r="AG26" s="63"/>
      <c r="AH26" s="3"/>
      <c r="AI26" s="3"/>
      <c r="AJ26" s="3"/>
      <c r="AK26" s="3"/>
      <c r="AL26" s="3"/>
      <c r="AM26" s="3"/>
      <c r="AN26" s="3"/>
      <c r="AO26" s="3"/>
    </row>
    <row r="27" spans="1:41" s="21" customFormat="1" x14ac:dyDescent="0.3">
      <c r="A27" s="64" t="s">
        <v>20</v>
      </c>
      <c r="B27" s="65"/>
      <c r="C27" s="19">
        <f>[1]SUMMARY!$BI$49</f>
        <v>4</v>
      </c>
      <c r="D27" s="19">
        <f>[1]SUMMARY!$BJ$49</f>
        <v>19</v>
      </c>
      <c r="E27" s="19">
        <f>[1]SUMMARY!$BK$49</f>
        <v>21</v>
      </c>
      <c r="F27" s="19"/>
      <c r="G27" s="19">
        <f>[1]SUMMARY!$BM$49</f>
        <v>0</v>
      </c>
      <c r="H27" s="19">
        <f>[1]SUMMARY!$BN$49</f>
        <v>0</v>
      </c>
      <c r="I27" s="19">
        <f>[1]SUMMARY!$BO$49</f>
        <v>0</v>
      </c>
      <c r="J27" s="19">
        <f>[1]SUMMARY!$BP$49</f>
        <v>0</v>
      </c>
      <c r="K27" s="19">
        <f>[1]SUMMARY!$BQ$49</f>
        <v>0</v>
      </c>
      <c r="L27" s="19">
        <f>[1]SUMMARY!$BR$49</f>
        <v>0</v>
      </c>
      <c r="M27" s="20">
        <f>[1]SUMMARY!$BS$49</f>
        <v>0</v>
      </c>
      <c r="N27" s="20">
        <f>[1]SUMMARY!$BT$49</f>
        <v>0</v>
      </c>
      <c r="O27" s="66">
        <f>[1]SUMMARY!$BU$49</f>
        <v>44</v>
      </c>
      <c r="P27" s="67"/>
      <c r="R27" s="64" t="s">
        <v>20</v>
      </c>
      <c r="S27" s="65"/>
      <c r="T27" s="19">
        <f>[1]SUMMARY!$BI$49</f>
        <v>4</v>
      </c>
      <c r="U27" s="19">
        <f>[1]SUMMARY!$BJ$49</f>
        <v>19</v>
      </c>
      <c r="V27" s="19">
        <f>[1]SUMMARY!$BK$49</f>
        <v>21</v>
      </c>
      <c r="W27" s="19">
        <f>[1]SUMMARY!$BL$49</f>
        <v>0</v>
      </c>
      <c r="X27" s="19">
        <f>[1]SUMMARY!$BM$49</f>
        <v>0</v>
      </c>
      <c r="Y27" s="19">
        <f>[1]SUMMARY!$BN$49</f>
        <v>0</v>
      </c>
      <c r="Z27" s="19">
        <f>[1]SUMMARY!$BO$49</f>
        <v>0</v>
      </c>
      <c r="AA27" s="19">
        <f>[1]SUMMARY!$BP$49</f>
        <v>0</v>
      </c>
      <c r="AB27" s="19">
        <f>[1]SUMMARY!$BQ$49</f>
        <v>0</v>
      </c>
      <c r="AC27" s="19">
        <f>[1]SUMMARY!$BR$49</f>
        <v>0</v>
      </c>
      <c r="AD27" s="20">
        <f>[1]SUMMARY!$BS$49</f>
        <v>0</v>
      </c>
      <c r="AE27" s="20">
        <f>[1]SUMMARY!$BT$49</f>
        <v>0</v>
      </c>
      <c r="AF27" s="66">
        <f>[1]SUMMARY!$BU$49</f>
        <v>44</v>
      </c>
      <c r="AG27" s="67"/>
    </row>
    <row r="28" spans="1:41" x14ac:dyDescent="0.3">
      <c r="A28" s="64" t="s">
        <v>21</v>
      </c>
      <c r="B28" s="65"/>
      <c r="C28" s="19">
        <f>[1]SUMMARY!BI4</f>
        <v>4</v>
      </c>
      <c r="D28" s="19">
        <f>[1]SUMMARY!BJ4</f>
        <v>19</v>
      </c>
      <c r="E28" s="19">
        <f>[1]SUMMARY!BK4</f>
        <v>21</v>
      </c>
      <c r="F28" s="19">
        <f>[1]SUMMARY!BL4</f>
        <v>0</v>
      </c>
      <c r="G28" s="19">
        <f>[1]SUMMARY!BM4</f>
        <v>0</v>
      </c>
      <c r="H28" s="19">
        <f>[1]SUMMARY!BN4</f>
        <v>0</v>
      </c>
      <c r="I28" s="19">
        <f>[1]SUMMARY!BO4</f>
        <v>0</v>
      </c>
      <c r="J28" s="19">
        <f>[1]SUMMARY!BP4</f>
        <v>0</v>
      </c>
      <c r="K28" s="19">
        <f>[1]SUMMARY!BQ4</f>
        <v>0</v>
      </c>
      <c r="L28" s="19">
        <f>[1]SUMMARY!BR4</f>
        <v>0</v>
      </c>
      <c r="M28" s="20">
        <f>[1]SUMMARY!BS4</f>
        <v>0</v>
      </c>
      <c r="N28" s="20">
        <f>[1]SUMMARY!BT4</f>
        <v>0</v>
      </c>
      <c r="O28" s="68">
        <f>SUM(C28:N28)</f>
        <v>44</v>
      </c>
      <c r="P28" s="67"/>
      <c r="R28" s="64" t="s">
        <v>21</v>
      </c>
      <c r="S28" s="65"/>
      <c r="T28" s="19">
        <f>[1]SUMMARY!BI5</f>
        <v>4</v>
      </c>
      <c r="U28" s="19">
        <f>[1]SUMMARY!BJ5</f>
        <v>19</v>
      </c>
      <c r="V28" s="19">
        <f>[1]SUMMARY!BK5</f>
        <v>21</v>
      </c>
      <c r="W28" s="19">
        <f>[1]SUMMARY!BL5</f>
        <v>0</v>
      </c>
      <c r="X28" s="19">
        <f>[1]SUMMARY!BM5</f>
        <v>0</v>
      </c>
      <c r="Y28" s="19">
        <f>[1]SUMMARY!BN5</f>
        <v>0</v>
      </c>
      <c r="Z28" s="19">
        <f>[1]SUMMARY!BO5</f>
        <v>0</v>
      </c>
      <c r="AA28" s="19">
        <f>[1]SUMMARY!BP5</f>
        <v>0</v>
      </c>
      <c r="AB28" s="19">
        <f>[1]SUMMARY!BQ5</f>
        <v>0</v>
      </c>
      <c r="AC28" s="19">
        <f>[1]SUMMARY!BR5</f>
        <v>0</v>
      </c>
      <c r="AD28" s="20">
        <f>[1]SUMMARY!BS5</f>
        <v>0</v>
      </c>
      <c r="AE28" s="20">
        <f>[1]SUMMARY!BT5</f>
        <v>0</v>
      </c>
      <c r="AF28" s="68">
        <f>SUM(T28:AE28)</f>
        <v>44</v>
      </c>
      <c r="AG28" s="67"/>
      <c r="AH28" s="3"/>
      <c r="AI28" s="3"/>
      <c r="AJ28" s="3"/>
      <c r="AK28" s="3"/>
      <c r="AL28" s="3"/>
      <c r="AM28" s="3"/>
      <c r="AN28" s="3"/>
      <c r="AO28" s="3"/>
    </row>
    <row r="29" spans="1:41" x14ac:dyDescent="0.3">
      <c r="A29" s="64" t="s">
        <v>22</v>
      </c>
      <c r="B29" s="65"/>
      <c r="C29" s="19">
        <f>[1]SUMMARY!BV4</f>
        <v>0</v>
      </c>
      <c r="D29" s="19">
        <f>[1]SUMMARY!BW4</f>
        <v>0</v>
      </c>
      <c r="E29" s="19">
        <f>[1]SUMMARY!BX4</f>
        <v>0</v>
      </c>
      <c r="F29" s="19">
        <f>[1]SUMMARY!BY4</f>
        <v>0</v>
      </c>
      <c r="G29" s="19">
        <f>[1]SUMMARY!BZ4</f>
        <v>0</v>
      </c>
      <c r="H29" s="19">
        <f>[1]SUMMARY!CA4</f>
        <v>0</v>
      </c>
      <c r="I29" s="19">
        <f>[1]SUMMARY!CB4</f>
        <v>0</v>
      </c>
      <c r="J29" s="19">
        <f>[1]SUMMARY!CC4</f>
        <v>0</v>
      </c>
      <c r="K29" s="19">
        <f>[1]SUMMARY!CD4</f>
        <v>0</v>
      </c>
      <c r="L29" s="19">
        <f>[1]SUMMARY!CE4</f>
        <v>0</v>
      </c>
      <c r="M29" s="20">
        <f>[1]SUMMARY!CF4</f>
        <v>0</v>
      </c>
      <c r="N29" s="20">
        <f>[1]SUMMARY!CG4</f>
        <v>0</v>
      </c>
      <c r="O29" s="68">
        <f>SUM(C29:N29)</f>
        <v>0</v>
      </c>
      <c r="P29" s="67"/>
      <c r="R29" s="64" t="s">
        <v>22</v>
      </c>
      <c r="S29" s="65"/>
      <c r="T29" s="19">
        <f>[1]SUMMARY!BV5</f>
        <v>0</v>
      </c>
      <c r="U29" s="19">
        <f>[1]SUMMARY!BW5</f>
        <v>0</v>
      </c>
      <c r="V29" s="19">
        <f>[1]SUMMARY!BX5</f>
        <v>1</v>
      </c>
      <c r="W29" s="19">
        <f>[1]SUMMARY!BY5</f>
        <v>0</v>
      </c>
      <c r="X29" s="19">
        <f>[1]SUMMARY!BZ5</f>
        <v>0</v>
      </c>
      <c r="Y29" s="19">
        <f>[1]SUMMARY!CA5</f>
        <v>0</v>
      </c>
      <c r="Z29" s="19">
        <f>[1]SUMMARY!CB5</f>
        <v>0</v>
      </c>
      <c r="AA29" s="19">
        <f>[1]SUMMARY!CC5</f>
        <v>0</v>
      </c>
      <c r="AB29" s="19">
        <f>[1]SUMMARY!CD5</f>
        <v>0</v>
      </c>
      <c r="AC29" s="19">
        <f>[1]SUMMARY!CE5</f>
        <v>0</v>
      </c>
      <c r="AD29" s="20">
        <f>[1]SUMMARY!CF5</f>
        <v>0</v>
      </c>
      <c r="AE29" s="20">
        <f>[1]SUMMARY!CG5</f>
        <v>0</v>
      </c>
      <c r="AF29" s="68">
        <f>SUM(T29:AE29)</f>
        <v>1</v>
      </c>
      <c r="AG29" s="67"/>
      <c r="AH29" s="3"/>
      <c r="AI29" s="3"/>
      <c r="AJ29" s="3"/>
      <c r="AK29" s="3"/>
      <c r="AL29" s="3"/>
      <c r="AM29" s="3"/>
      <c r="AN29" s="3"/>
      <c r="AO29" s="3"/>
    </row>
    <row r="30" spans="1:41" x14ac:dyDescent="0.3">
      <c r="A30" s="23" t="s">
        <v>23</v>
      </c>
      <c r="D30" s="23"/>
      <c r="E30" s="23"/>
      <c r="F30" s="23"/>
      <c r="G30" s="23"/>
      <c r="H30" s="69">
        <f>[1]SUMMARY!$CI$4</f>
        <v>0</v>
      </c>
      <c r="I30" s="69"/>
      <c r="J30" s="69"/>
      <c r="K30" s="69"/>
      <c r="L30" s="69"/>
      <c r="M30" s="69"/>
      <c r="N30" s="69"/>
      <c r="O30" s="69"/>
      <c r="P30" s="23"/>
      <c r="R30" s="23" t="s">
        <v>23</v>
      </c>
      <c r="U30" s="23"/>
      <c r="V30" s="23"/>
      <c r="W30" s="23"/>
      <c r="X30" s="23"/>
      <c r="Y30" s="69">
        <f>[1]SUMMARY!$CI$5</f>
        <v>0</v>
      </c>
      <c r="Z30" s="69"/>
      <c r="AA30" s="69"/>
      <c r="AB30" s="69"/>
      <c r="AC30" s="69"/>
      <c r="AD30" s="69"/>
      <c r="AE30" s="69"/>
      <c r="AF30" s="69"/>
      <c r="AG30" s="23"/>
      <c r="AH30" s="3"/>
      <c r="AI30" s="3"/>
      <c r="AJ30" s="3"/>
      <c r="AK30" s="3"/>
      <c r="AL30" s="3"/>
      <c r="AM30" s="3"/>
      <c r="AN30" s="3"/>
      <c r="AO30" s="3"/>
    </row>
    <row r="31" spans="1:41" x14ac:dyDescent="0.3">
      <c r="A31" s="23" t="s">
        <v>24</v>
      </c>
      <c r="B31" s="23"/>
      <c r="C31" s="23"/>
      <c r="D31" s="23"/>
      <c r="E31" s="70">
        <f>[1]SUMMARY!$CJ$4</f>
        <v>0</v>
      </c>
      <c r="F31" s="70"/>
      <c r="G31" s="70"/>
      <c r="H31" s="70"/>
      <c r="I31" s="70"/>
      <c r="J31" s="70"/>
      <c r="K31" s="70"/>
      <c r="L31" s="70"/>
      <c r="M31" s="70"/>
      <c r="N31" s="70"/>
      <c r="O31" s="70"/>
      <c r="R31" s="23" t="s">
        <v>24</v>
      </c>
      <c r="S31" s="23"/>
      <c r="T31" s="23"/>
      <c r="U31" s="23"/>
      <c r="V31" s="70">
        <f>[1]SUMMARY!$CJ$5</f>
        <v>0</v>
      </c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H31" s="3"/>
      <c r="AI31" s="3"/>
      <c r="AJ31" s="3"/>
      <c r="AK31" s="3"/>
      <c r="AL31" s="3"/>
      <c r="AM31" s="3"/>
      <c r="AN31" s="3"/>
      <c r="AO31" s="3"/>
    </row>
    <row r="32" spans="1:41" x14ac:dyDescent="0.3">
      <c r="A32" s="10" t="s">
        <v>25</v>
      </c>
      <c r="D32" s="36">
        <f>[1]SUMMARY!$CK$4</f>
        <v>0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R32" s="10" t="s">
        <v>25</v>
      </c>
      <c r="U32" s="36">
        <f>[1]SUMMARY!$CK$5</f>
        <v>0</v>
      </c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H32" s="3"/>
      <c r="AI32" s="3"/>
      <c r="AJ32" s="3"/>
      <c r="AK32" s="3"/>
      <c r="AL32" s="3"/>
      <c r="AM32" s="3"/>
      <c r="AN32" s="3"/>
      <c r="AO32" s="3"/>
    </row>
    <row r="33" spans="1:41" x14ac:dyDescent="0.3">
      <c r="A33" s="7" t="s">
        <v>26</v>
      </c>
      <c r="C33" s="36">
        <f>[1]SUMMARY!$CL$4</f>
        <v>0</v>
      </c>
      <c r="D33" s="36"/>
      <c r="E33" s="36"/>
      <c r="F33" s="36"/>
      <c r="G33" s="36"/>
      <c r="R33" s="7" t="s">
        <v>26</v>
      </c>
      <c r="T33" s="36">
        <f>[1]SUMMARY!$CL$5</f>
        <v>0</v>
      </c>
      <c r="U33" s="36"/>
      <c r="V33" s="36"/>
      <c r="W33" s="36"/>
      <c r="X33" s="36"/>
      <c r="AH33" s="3"/>
      <c r="AI33" s="3"/>
      <c r="AJ33" s="3"/>
      <c r="AK33" s="3"/>
      <c r="AL33" s="3"/>
      <c r="AM33" s="3"/>
      <c r="AN33" s="3"/>
      <c r="AO33" s="3"/>
    </row>
    <row r="34" spans="1:41" ht="34.200000000000003" customHeight="1" x14ac:dyDescent="0.3">
      <c r="A34" s="71" t="str">
        <f>[1]SUMMARY!$A$49</f>
        <v>MARION RODRIGO D. MARIÑAS III</v>
      </c>
      <c r="B34" s="71"/>
      <c r="C34" s="71"/>
      <c r="D34" s="71"/>
      <c r="E34" s="71"/>
      <c r="F34" s="71"/>
      <c r="G34" s="71"/>
      <c r="I34" s="71" t="str">
        <f>[1]SUMMARY!$C$49</f>
        <v>MARION RODRIGO D. MARIÑAS III</v>
      </c>
      <c r="J34" s="71"/>
      <c r="K34" s="71"/>
      <c r="L34" s="71"/>
      <c r="M34" s="71"/>
      <c r="N34" s="71"/>
      <c r="O34" s="71"/>
      <c r="P34" s="71"/>
      <c r="R34" s="71" t="str">
        <f>[1]SUMMARY!$A$49</f>
        <v>MARION RODRIGO D. MARIÑAS III</v>
      </c>
      <c r="S34" s="71"/>
      <c r="T34" s="71"/>
      <c r="U34" s="71"/>
      <c r="V34" s="71"/>
      <c r="W34" s="71"/>
      <c r="X34" s="71"/>
      <c r="Z34" s="71" t="str">
        <f>[1]SUMMARY!$C$49</f>
        <v>MARION RODRIGO D. MARIÑAS III</v>
      </c>
      <c r="AA34" s="71"/>
      <c r="AB34" s="71"/>
      <c r="AC34" s="71"/>
      <c r="AD34" s="71"/>
      <c r="AE34" s="71"/>
      <c r="AF34" s="71"/>
      <c r="AG34" s="71"/>
      <c r="AH34" s="3"/>
      <c r="AI34" s="3"/>
      <c r="AJ34" s="3"/>
      <c r="AK34" s="3"/>
      <c r="AL34" s="3"/>
      <c r="AM34" s="3"/>
      <c r="AN34" s="3"/>
      <c r="AO34" s="3"/>
    </row>
    <row r="35" spans="1:41" ht="15" thickBot="1" x14ac:dyDescent="0.35">
      <c r="A35" s="72" t="s">
        <v>27</v>
      </c>
      <c r="B35" s="72" t="e">
        <f>IF(#REF!&lt;&gt;"", "Class Adviser", "")</f>
        <v>#REF!</v>
      </c>
      <c r="C35" s="72" t="str">
        <f t="shared" ref="C35:D35" si="2">IF(A26&lt;&gt;"", "Class Adviser", "")</f>
        <v/>
      </c>
      <c r="D35" s="72" t="str">
        <f t="shared" si="2"/>
        <v/>
      </c>
      <c r="E35" s="72" t="str">
        <f>IF(C26&lt;&gt;"", "Class Adviser", "")</f>
        <v>Class Adviser</v>
      </c>
      <c r="F35" s="72" t="str">
        <f>IF(D26&lt;&gt;"", "Class Adviser", "")</f>
        <v>Class Adviser</v>
      </c>
      <c r="G35" s="72" t="str">
        <f>IF(E26&lt;&gt;"", "Class Adviser", "")</f>
        <v>Class Adviser</v>
      </c>
      <c r="H35" s="24"/>
      <c r="I35" s="72" t="s">
        <v>28</v>
      </c>
      <c r="J35" s="72"/>
      <c r="K35" s="72"/>
      <c r="L35" s="72"/>
      <c r="M35" s="72"/>
      <c r="N35" s="72"/>
      <c r="O35" s="72"/>
      <c r="P35" s="72"/>
      <c r="R35" s="72" t="s">
        <v>27</v>
      </c>
      <c r="S35" s="72"/>
      <c r="T35" s="72"/>
      <c r="U35" s="72"/>
      <c r="V35" s="72"/>
      <c r="W35" s="72"/>
      <c r="X35" s="72"/>
      <c r="Y35" s="24"/>
      <c r="Z35" s="72" t="s">
        <v>28</v>
      </c>
      <c r="AA35" s="72"/>
      <c r="AB35" s="72"/>
      <c r="AC35" s="72"/>
      <c r="AD35" s="72"/>
      <c r="AE35" s="72"/>
      <c r="AF35" s="72"/>
      <c r="AG35" s="72"/>
      <c r="AH35" s="3"/>
      <c r="AI35" s="3"/>
      <c r="AJ35" s="3"/>
      <c r="AK35" s="3"/>
      <c r="AL35" s="3"/>
      <c r="AM35" s="3"/>
      <c r="AN35" s="3"/>
      <c r="AO35" s="3"/>
    </row>
    <row r="36" spans="1:41" ht="15" thickTop="1" x14ac:dyDescent="0.3">
      <c r="AH36" s="3"/>
      <c r="AI36" s="3"/>
      <c r="AJ36" s="3"/>
      <c r="AK36" s="3"/>
      <c r="AL36" s="3"/>
      <c r="AM36" s="3"/>
      <c r="AN36" s="3"/>
      <c r="AO36" s="3"/>
    </row>
    <row r="37" spans="1:41" ht="15.6" x14ac:dyDescent="0.3">
      <c r="B37" s="73" t="s">
        <v>29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S37" s="73" t="s">
        <v>29</v>
      </c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3"/>
      <c r="AI37" s="3"/>
      <c r="AJ37" s="3"/>
      <c r="AK37" s="3"/>
      <c r="AL37" s="3"/>
      <c r="AM37" s="3"/>
      <c r="AN37" s="3"/>
      <c r="AO37" s="3"/>
    </row>
    <row r="38" spans="1:41" x14ac:dyDescent="0.3">
      <c r="A38" s="25" t="s">
        <v>30</v>
      </c>
      <c r="B38" s="25"/>
      <c r="C38" s="25"/>
      <c r="D38" s="25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R38" s="25" t="s">
        <v>30</v>
      </c>
      <c r="S38" s="25"/>
      <c r="T38" s="25"/>
      <c r="U38" s="25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H38" s="3"/>
      <c r="AI38" s="3"/>
      <c r="AJ38" s="3"/>
      <c r="AK38" s="3"/>
      <c r="AL38" s="3"/>
      <c r="AM38" s="3"/>
      <c r="AN38" s="3"/>
      <c r="AO38" s="3"/>
    </row>
    <row r="39" spans="1:41" ht="18.600000000000001" customHeight="1" x14ac:dyDescent="0.3">
      <c r="A39" s="3" t="s">
        <v>31</v>
      </c>
      <c r="B39" s="74"/>
      <c r="C39" s="74"/>
      <c r="D39" s="74"/>
      <c r="E39" s="74"/>
      <c r="F39" s="74"/>
      <c r="G39" s="74"/>
      <c r="H39" s="21"/>
      <c r="I39" s="21"/>
      <c r="J39" s="21"/>
      <c r="K39" s="21"/>
      <c r="L39" s="21"/>
      <c r="M39" s="21"/>
      <c r="N39" s="21"/>
      <c r="O39" s="21"/>
      <c r="P39" s="21"/>
      <c r="R39" s="3" t="s">
        <v>31</v>
      </c>
      <c r="S39" s="74"/>
      <c r="T39" s="74"/>
      <c r="U39" s="74"/>
      <c r="V39" s="74"/>
      <c r="W39" s="74"/>
      <c r="X39" s="74"/>
      <c r="Y39" s="21"/>
      <c r="Z39" s="21"/>
      <c r="AA39" s="21"/>
      <c r="AB39" s="21"/>
      <c r="AC39" s="21"/>
      <c r="AD39" s="21"/>
      <c r="AE39" s="21"/>
      <c r="AF39" s="21"/>
      <c r="AG39" s="21"/>
      <c r="AH39" s="3"/>
      <c r="AI39" s="3"/>
      <c r="AJ39" s="3"/>
      <c r="AK39" s="3"/>
      <c r="AL39" s="3"/>
      <c r="AM39" s="3"/>
      <c r="AN39" s="3"/>
      <c r="AO39" s="3"/>
    </row>
    <row r="40" spans="1:41" x14ac:dyDescent="0.3">
      <c r="I40" s="71" t="str">
        <f>$I$34</f>
        <v>MARION RODRIGO D. MARIÑAS III</v>
      </c>
      <c r="J40" s="71"/>
      <c r="K40" s="71"/>
      <c r="L40" s="71"/>
      <c r="M40" s="71"/>
      <c r="N40" s="71"/>
      <c r="O40" s="71"/>
      <c r="P40" s="71"/>
      <c r="Z40" s="71" t="str">
        <f>$I$34</f>
        <v>MARION RODRIGO D. MARIÑAS III</v>
      </c>
      <c r="AA40" s="71"/>
      <c r="AB40" s="71"/>
      <c r="AC40" s="71"/>
      <c r="AD40" s="71"/>
      <c r="AE40" s="71"/>
      <c r="AF40" s="71"/>
      <c r="AG40" s="71"/>
      <c r="AH40" s="3"/>
      <c r="AI40" s="3"/>
      <c r="AJ40" s="3"/>
      <c r="AK40" s="3"/>
      <c r="AL40" s="3"/>
      <c r="AM40" s="3"/>
      <c r="AN40" s="3"/>
      <c r="AO40" s="3"/>
    </row>
    <row r="41" spans="1:41" x14ac:dyDescent="0.3">
      <c r="I41" s="75" t="s">
        <v>28</v>
      </c>
      <c r="J41" s="75"/>
      <c r="K41" s="75"/>
      <c r="L41" s="75"/>
      <c r="M41" s="75"/>
      <c r="N41" s="75"/>
      <c r="O41" s="75"/>
      <c r="P41" s="75"/>
      <c r="Z41" s="75" t="s">
        <v>28</v>
      </c>
      <c r="AA41" s="75"/>
      <c r="AB41" s="75"/>
      <c r="AC41" s="75"/>
      <c r="AD41" s="75"/>
      <c r="AE41" s="75"/>
      <c r="AF41" s="75"/>
      <c r="AG41" s="75"/>
      <c r="AH41" s="3"/>
      <c r="AI41" s="3"/>
      <c r="AJ41" s="3"/>
      <c r="AK41" s="3"/>
      <c r="AL41" s="3"/>
      <c r="AM41" s="3"/>
      <c r="AN41" s="3"/>
      <c r="AO41" s="3"/>
    </row>
    <row r="42" spans="1:41" x14ac:dyDescent="0.3">
      <c r="AJ42" s="22"/>
      <c r="AK42" s="22"/>
      <c r="AL42" s="22"/>
      <c r="AM42" s="22"/>
      <c r="AN42" s="22"/>
    </row>
  </sheetData>
  <mergeCells count="147">
    <mergeCell ref="B37:P37"/>
    <mergeCell ref="S37:AG37"/>
    <mergeCell ref="B39:G39"/>
    <mergeCell ref="S39:X39"/>
    <mergeCell ref="I40:P40"/>
    <mergeCell ref="Z40:AG40"/>
    <mergeCell ref="I41:P41"/>
    <mergeCell ref="Z41:AG41"/>
    <mergeCell ref="C33:G33"/>
    <mergeCell ref="T33:X33"/>
    <mergeCell ref="A34:G34"/>
    <mergeCell ref="I34:P34"/>
    <mergeCell ref="R34:X34"/>
    <mergeCell ref="Z34:AG34"/>
    <mergeCell ref="A35:G35"/>
    <mergeCell ref="I35:P35"/>
    <mergeCell ref="R35:X35"/>
    <mergeCell ref="Z35:AG35"/>
    <mergeCell ref="A29:B29"/>
    <mergeCell ref="O29:P29"/>
    <mergeCell ref="R29:S29"/>
    <mergeCell ref="AF29:AG29"/>
    <mergeCell ref="H30:O30"/>
    <mergeCell ref="Y30:AF30"/>
    <mergeCell ref="E31:O31"/>
    <mergeCell ref="V31:AF31"/>
    <mergeCell ref="D32:O32"/>
    <mergeCell ref="U32:AF32"/>
    <mergeCell ref="A26:B26"/>
    <mergeCell ref="O26:P26"/>
    <mergeCell ref="R26:S26"/>
    <mergeCell ref="AF26:AG26"/>
    <mergeCell ref="A27:B27"/>
    <mergeCell ref="O27:P27"/>
    <mergeCell ref="R27:S27"/>
    <mergeCell ref="AF27:AG27"/>
    <mergeCell ref="A28:B28"/>
    <mergeCell ref="O28:P28"/>
    <mergeCell ref="R28:S28"/>
    <mergeCell ref="AF28:AG28"/>
    <mergeCell ref="B23:F23"/>
    <mergeCell ref="K23:L23"/>
    <mergeCell ref="M23:N23"/>
    <mergeCell ref="S23:W23"/>
    <mergeCell ref="AB23:AC23"/>
    <mergeCell ref="AD23:AE23"/>
    <mergeCell ref="K24:L24"/>
    <mergeCell ref="AB24:AC24"/>
    <mergeCell ref="B25:P25"/>
    <mergeCell ref="S25:AG25"/>
    <mergeCell ref="B21:F21"/>
    <mergeCell ref="K21:L21"/>
    <mergeCell ref="M21:N21"/>
    <mergeCell ref="S21:W21"/>
    <mergeCell ref="AB21:AC21"/>
    <mergeCell ref="AD21:AE21"/>
    <mergeCell ref="B22:F22"/>
    <mergeCell ref="K22:L22"/>
    <mergeCell ref="M22:N22"/>
    <mergeCell ref="S22:W22"/>
    <mergeCell ref="AB22:AC22"/>
    <mergeCell ref="AD22:AE22"/>
    <mergeCell ref="B19:F19"/>
    <mergeCell ref="K19:L19"/>
    <mergeCell ref="M19:N19"/>
    <mergeCell ref="S19:W19"/>
    <mergeCell ref="AB19:AC19"/>
    <mergeCell ref="AD19:AE19"/>
    <mergeCell ref="B20:F20"/>
    <mergeCell ref="K20:L20"/>
    <mergeCell ref="M20:N20"/>
    <mergeCell ref="S20:W20"/>
    <mergeCell ref="AB20:AC20"/>
    <mergeCell ref="AD20:AE20"/>
    <mergeCell ref="B17:F17"/>
    <mergeCell ref="K17:L17"/>
    <mergeCell ref="M17:N17"/>
    <mergeCell ref="S17:W17"/>
    <mergeCell ref="AB17:AC17"/>
    <mergeCell ref="AD17:AE17"/>
    <mergeCell ref="B18:F18"/>
    <mergeCell ref="K18:L18"/>
    <mergeCell ref="M18:N18"/>
    <mergeCell ref="S18:W18"/>
    <mergeCell ref="AB18:AC18"/>
    <mergeCell ref="AD18:AE18"/>
    <mergeCell ref="B15:F15"/>
    <mergeCell ref="K15:L15"/>
    <mergeCell ref="M15:N15"/>
    <mergeCell ref="S15:W15"/>
    <mergeCell ref="AB15:AC15"/>
    <mergeCell ref="AD15:AE15"/>
    <mergeCell ref="B16:F16"/>
    <mergeCell ref="K16:L16"/>
    <mergeCell ref="M16:N16"/>
    <mergeCell ref="S16:W16"/>
    <mergeCell ref="AB16:AC16"/>
    <mergeCell ref="AD16:AE16"/>
    <mergeCell ref="X12:AA12"/>
    <mergeCell ref="AB12:AC13"/>
    <mergeCell ref="AD12:AE13"/>
    <mergeCell ref="B12:F13"/>
    <mergeCell ref="G12:J12"/>
    <mergeCell ref="K12:L13"/>
    <mergeCell ref="M12:N13"/>
    <mergeCell ref="S12:W13"/>
    <mergeCell ref="B14:F14"/>
    <mergeCell ref="K14:L14"/>
    <mergeCell ref="M14:N14"/>
    <mergeCell ref="S14:W14"/>
    <mergeCell ref="AB14:AC14"/>
    <mergeCell ref="AD14:AE14"/>
    <mergeCell ref="AC9:AF9"/>
    <mergeCell ref="A9:B9"/>
    <mergeCell ref="C9:G9"/>
    <mergeCell ref="J9:K9"/>
    <mergeCell ref="L9:O9"/>
    <mergeCell ref="R9:S9"/>
    <mergeCell ref="T9:X9"/>
    <mergeCell ref="AA9:AB9"/>
    <mergeCell ref="AC10:AF10"/>
    <mergeCell ref="A10:B10"/>
    <mergeCell ref="C10:G10"/>
    <mergeCell ref="J10:K10"/>
    <mergeCell ref="L10:O10"/>
    <mergeCell ref="R10:S10"/>
    <mergeCell ref="T10:X10"/>
    <mergeCell ref="AA10:AB10"/>
    <mergeCell ref="B7:P7"/>
    <mergeCell ref="S7:AG7"/>
    <mergeCell ref="AC8:AD8"/>
    <mergeCell ref="A8:B8"/>
    <mergeCell ref="C8:I8"/>
    <mergeCell ref="L8:M8"/>
    <mergeCell ref="R8:S8"/>
    <mergeCell ref="T8:Z8"/>
    <mergeCell ref="AA8:AB8"/>
    <mergeCell ref="K1:O1"/>
    <mergeCell ref="AB1:AF1"/>
    <mergeCell ref="D2:P2"/>
    <mergeCell ref="U2:AG2"/>
    <mergeCell ref="D3:P3"/>
    <mergeCell ref="U3:AG3"/>
    <mergeCell ref="D4:P4"/>
    <mergeCell ref="U4:AG4"/>
    <mergeCell ref="D5:P5"/>
    <mergeCell ref="U5:AG5"/>
  </mergeCells>
  <conditionalFormatting sqref="A1:XFD1">
    <cfRule type="cellIs" dxfId="10" priority="3" operator="equal">
      <formula>0</formula>
    </cfRule>
    <cfRule type="cellIs" priority="4" operator="equal">
      <formula>0</formula>
    </cfRule>
  </conditionalFormatting>
  <conditionalFormatting sqref="A8:XFD10">
    <cfRule type="cellIs" dxfId="9" priority="5" operator="equal">
      <formula>0</formula>
    </cfRule>
    <cfRule type="containsBlanks" dxfId="8" priority="6">
      <formula>LEN(TRIM(A8))=0</formula>
    </cfRule>
  </conditionalFormatting>
  <conditionalFormatting sqref="A26:XFD26 A30:XFD33">
    <cfRule type="containsBlanks" dxfId="7" priority="77">
      <formula>LEN(TRIM(A26))=0</formula>
    </cfRule>
  </conditionalFormatting>
  <conditionalFormatting sqref="A26:XFD28 A30:XFD33">
    <cfRule type="cellIs" dxfId="6" priority="2" operator="equal">
      <formula>0</formula>
    </cfRule>
  </conditionalFormatting>
  <conditionalFormatting sqref="G14:J23">
    <cfRule type="cellIs" dxfId="5" priority="144" operator="equal">
      <formula>0</formula>
    </cfRule>
  </conditionalFormatting>
  <conditionalFormatting sqref="K24">
    <cfRule type="containsErrors" dxfId="4" priority="142">
      <formula>ISERROR(K24)</formula>
    </cfRule>
  </conditionalFormatting>
  <conditionalFormatting sqref="K14:N23">
    <cfRule type="containsErrors" dxfId="3" priority="143">
      <formula>ISERROR(K14)</formula>
    </cfRule>
  </conditionalFormatting>
  <conditionalFormatting sqref="X14:AA23">
    <cfRule type="cellIs" dxfId="2" priority="141" operator="equal">
      <formula>0</formula>
    </cfRule>
  </conditionalFormatting>
  <conditionalFormatting sqref="AB24">
    <cfRule type="containsErrors" dxfId="1" priority="52">
      <formula>ISERROR(AB24)</formula>
    </cfRule>
  </conditionalFormatting>
  <conditionalFormatting sqref="AB14:AE23">
    <cfRule type="containsErrors" dxfId="0" priority="140">
      <formula>ISERROR(AB14)</formula>
    </cfRule>
  </conditionalFormatting>
  <pageMargins left="0.7" right="0.7" top="0.75" bottom="0.75" header="0.3" footer="0.3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Kino Hill</dc:creator>
  <cp:lastModifiedBy>Kino Hill</cp:lastModifiedBy>
  <cp:lastPrinted>2025-12-15T01:37:46Z</cp:lastPrinted>
  <dcterms:created xsi:type="dcterms:W3CDTF">2025-11-15T00:00:50Z</dcterms:created>
  <dcterms:modified xsi:type="dcterms:W3CDTF">2025-12-15T01:37:56Z</dcterms:modified>
</cp:coreProperties>
</file>